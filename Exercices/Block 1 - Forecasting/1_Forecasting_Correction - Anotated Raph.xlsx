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elibrebruxelles-my.sharepoint.com/personal/raphael_humblet_ulb_be/Documents/ULB/MA2/ULB-GEST-H501/Exercices/Block 1 - Forecasting/"/>
    </mc:Choice>
  </mc:AlternateContent>
  <xr:revisionPtr revIDLastSave="195" documentId="13_ncr:1_{3F8A16A5-5458-2B4A-A85F-5EA095FD1B31}" xr6:coauthVersionLast="47" xr6:coauthVersionMax="47" xr10:uidLastSave="{B3B93659-B867-4944-8A91-DDC5BDC261D1}"/>
  <bookViews>
    <workbookView xWindow="-98" yWindow="-98" windowWidth="23236" windowHeight="13875" firstSheet="7" activeTab="7" xr2:uid="{00000000-000D-0000-FFFF-FFFF00000000}"/>
  </bookViews>
  <sheets>
    <sheet name="Naïve" sheetId="16" r:id="rId1"/>
    <sheet name="Moving Average" sheetId="7" r:id="rId2"/>
    <sheet name="Moving Average (2)" sheetId="27" r:id="rId3"/>
    <sheet name="SES weights" sheetId="17" r:id="rId4"/>
    <sheet name="Simple" sheetId="2" r:id="rId5"/>
    <sheet name="Double" sheetId="5" r:id="rId6"/>
    <sheet name="Damped" sheetId="10" r:id="rId7"/>
    <sheet name="Multiplicative" sheetId="13" r:id="rId8"/>
    <sheet name="Additive" sheetId="14" r:id="rId9"/>
    <sheet name="Simple linear Reg" sheetId="19" r:id="rId10"/>
    <sheet name="Multiple linear Reg" sheetId="20" r:id="rId11"/>
    <sheet name="Tracking Signal" sheetId="21" r:id="rId12"/>
    <sheet name="KPIs1" sheetId="24" r:id="rId13"/>
    <sheet name="KPIs2" sheetId="22" r:id="rId14"/>
    <sheet name="KPIs Example" sheetId="25" r:id="rId15"/>
    <sheet name="Wonsorization" sheetId="26" r:id="rId16"/>
    <sheet name="Parameter Optimization" sheetId="6" r:id="rId17"/>
  </sheets>
  <externalReferences>
    <externalReference r:id="rId18"/>
    <externalReference r:id="rId19"/>
  </externalReferences>
  <definedNames>
    <definedName name="alpha" localSheetId="8">#REF!</definedName>
    <definedName name="alpha" localSheetId="6">#REF!</definedName>
    <definedName name="alpha" localSheetId="1">#REF!</definedName>
    <definedName name="alpha" localSheetId="2">#REF!</definedName>
    <definedName name="alpha" localSheetId="16">#REF!</definedName>
    <definedName name="alpha">#REF!</definedName>
    <definedName name="alpha2">'[1]Smoothing &amp; Trend'!$D$3</definedName>
    <definedName name="alpha3">'[1]Holt Winters'!$E$3</definedName>
    <definedName name="beta2">'[1]Smoothing &amp; Trend'!$E$3</definedName>
    <definedName name="beta3">'[2]Holt-Winters'!$F$3</definedName>
    <definedName name="gamma3">'[1]Holt Winters'!$G$3</definedName>
    <definedName name="omega">'[2]Smoothing &amp; Damped Trend'!$F$3</definedName>
    <definedName name="solver_adj" localSheetId="8" hidden="1">Additive!$H$1:$I$1</definedName>
    <definedName name="solver_adj" localSheetId="6" hidden="1">Damped!$H$1:$H$3</definedName>
    <definedName name="solver_adj" localSheetId="7" hidden="1">Multiplicative!$J$1:$K$1</definedName>
    <definedName name="solver_adj" localSheetId="16" hidden="1">'Parameter Optimization'!$J$1:$J$2</definedName>
    <definedName name="solver_cvg" localSheetId="8" hidden="1">0.0001</definedName>
    <definedName name="solver_cvg" localSheetId="6" hidden="1">0.0001</definedName>
    <definedName name="solver_cvg" localSheetId="2" hidden="1">0.0001</definedName>
    <definedName name="solver_cvg" localSheetId="7" hidden="1">0.0001</definedName>
    <definedName name="solver_cvg" localSheetId="16" hidden="1">0.0001</definedName>
    <definedName name="solver_drv" localSheetId="8" hidden="1">2</definedName>
    <definedName name="solver_drv" localSheetId="6" hidden="1">1</definedName>
    <definedName name="solver_drv" localSheetId="2" hidden="1">1</definedName>
    <definedName name="solver_drv" localSheetId="7" hidden="1">2</definedName>
    <definedName name="solver_drv" localSheetId="16" hidden="1">1</definedName>
    <definedName name="solver_eng" localSheetId="8" hidden="1">3</definedName>
    <definedName name="solver_eng" localSheetId="6" hidden="1">1</definedName>
    <definedName name="solver_eng" localSheetId="2" hidden="1">1</definedName>
    <definedName name="solver_eng" localSheetId="7" hidden="1">3</definedName>
    <definedName name="solver_eng" localSheetId="16" hidden="1">3</definedName>
    <definedName name="solver_eng" localSheetId="4" hidden="1">1</definedName>
    <definedName name="solver_eng" localSheetId="9" hidden="1">1</definedName>
    <definedName name="solver_est" localSheetId="8" hidden="1">1</definedName>
    <definedName name="solver_est" localSheetId="7" hidden="1">1</definedName>
    <definedName name="solver_est" localSheetId="16" hidden="1">1</definedName>
    <definedName name="solver_itr" localSheetId="8" hidden="1">2147483647</definedName>
    <definedName name="solver_itr" localSheetId="6" hidden="1">2147483647</definedName>
    <definedName name="solver_itr" localSheetId="2" hidden="1">2147483647</definedName>
    <definedName name="solver_itr" localSheetId="7" hidden="1">2147483647</definedName>
    <definedName name="solver_itr" localSheetId="16" hidden="1">2147483647</definedName>
    <definedName name="solver_lhs1" localSheetId="8" hidden="1">Additive!$H$1:$I$1</definedName>
    <definedName name="solver_lhs1" localSheetId="6" hidden="1">Damped!$H$1:$H$3</definedName>
    <definedName name="solver_lhs1" localSheetId="7" hidden="1">Multiplicative!$J$1:$K$1</definedName>
    <definedName name="solver_lhs1" localSheetId="16" hidden="1">'Parameter Optimization'!$J$1:$J$2</definedName>
    <definedName name="solver_lhs2" localSheetId="8" hidden="1">Additive!$H$1:$I$1</definedName>
    <definedName name="solver_lhs2" localSheetId="6" hidden="1">Damped!$H$1:$H$3</definedName>
    <definedName name="solver_lhs2" localSheetId="7" hidden="1">Multiplicative!$J$1:$K$1</definedName>
    <definedName name="solver_lhs2" localSheetId="16" hidden="1">'Parameter Optimization'!$J$1:$J$2</definedName>
    <definedName name="solver_lin" localSheetId="6" hidden="1">2</definedName>
    <definedName name="solver_lin" localSheetId="2" hidden="1">2</definedName>
    <definedName name="solver_lin" localSheetId="16" hidden="1">2</definedName>
    <definedName name="solver_lin" localSheetId="4" hidden="1">2</definedName>
    <definedName name="solver_lin" localSheetId="9" hidden="1">2</definedName>
    <definedName name="solver_mip" localSheetId="8" hidden="1">2147483647</definedName>
    <definedName name="solver_mip" localSheetId="6" hidden="1">2147483647</definedName>
    <definedName name="solver_mip" localSheetId="2" hidden="1">2147483647</definedName>
    <definedName name="solver_mip" localSheetId="7" hidden="1">2147483647</definedName>
    <definedName name="solver_mip" localSheetId="16" hidden="1">2147483647</definedName>
    <definedName name="solver_mni" localSheetId="8" hidden="1">30</definedName>
    <definedName name="solver_mni" localSheetId="6" hidden="1">30</definedName>
    <definedName name="solver_mni" localSheetId="2" hidden="1">30</definedName>
    <definedName name="solver_mni" localSheetId="7" hidden="1">30</definedName>
    <definedName name="solver_mni" localSheetId="16" hidden="1">30</definedName>
    <definedName name="solver_mrt" localSheetId="8" hidden="1">0.075</definedName>
    <definedName name="solver_mrt" localSheetId="6" hidden="1">0.075</definedName>
    <definedName name="solver_mrt" localSheetId="2" hidden="1">0.075</definedName>
    <definedName name="solver_mrt" localSheetId="7" hidden="1">0.075</definedName>
    <definedName name="solver_mrt" localSheetId="16" hidden="1">0.075</definedName>
    <definedName name="solver_msl" localSheetId="8" hidden="1">2</definedName>
    <definedName name="solver_msl" localSheetId="6" hidden="1">2</definedName>
    <definedName name="solver_msl" localSheetId="2" hidden="1">2</definedName>
    <definedName name="solver_msl" localSheetId="7" hidden="1">2</definedName>
    <definedName name="solver_msl" localSheetId="16" hidden="1">2</definedName>
    <definedName name="solver_neg" localSheetId="8" hidden="1">1</definedName>
    <definedName name="solver_neg" localSheetId="6" hidden="1">1</definedName>
    <definedName name="solver_neg" localSheetId="2" hidden="1">1</definedName>
    <definedName name="solver_neg" localSheetId="7" hidden="1">1</definedName>
    <definedName name="solver_neg" localSheetId="16" hidden="1">1</definedName>
    <definedName name="solver_neg" localSheetId="4" hidden="1">1</definedName>
    <definedName name="solver_neg" localSheetId="9" hidden="1">1</definedName>
    <definedName name="solver_nod" localSheetId="8" hidden="1">2147483647</definedName>
    <definedName name="solver_nod" localSheetId="6" hidden="1">2147483647</definedName>
    <definedName name="solver_nod" localSheetId="2" hidden="1">2147483647</definedName>
    <definedName name="solver_nod" localSheetId="7" hidden="1">2147483647</definedName>
    <definedName name="solver_nod" localSheetId="16" hidden="1">2147483647</definedName>
    <definedName name="solver_num" localSheetId="8" hidden="1">2</definedName>
    <definedName name="solver_num" localSheetId="6" hidden="1">2</definedName>
    <definedName name="solver_num" localSheetId="2" hidden="1">0</definedName>
    <definedName name="solver_num" localSheetId="7" hidden="1">2</definedName>
    <definedName name="solver_num" localSheetId="16" hidden="1">2</definedName>
    <definedName name="solver_num" localSheetId="4" hidden="1">0</definedName>
    <definedName name="solver_num" localSheetId="9" hidden="1">0</definedName>
    <definedName name="solver_nwt" localSheetId="8" hidden="1">1</definedName>
    <definedName name="solver_nwt" localSheetId="7" hidden="1">1</definedName>
    <definedName name="solver_nwt" localSheetId="16" hidden="1">1</definedName>
    <definedName name="solver_opt" localSheetId="8" hidden="1">Additive!#REF!</definedName>
    <definedName name="solver_opt" localSheetId="6" hidden="1">Damped!$K$2</definedName>
    <definedName name="solver_opt" localSheetId="2" hidden="1">'Moving Average (2)'!$A$1</definedName>
    <definedName name="solver_opt" localSheetId="7" hidden="1">Multiplicative!#REF!</definedName>
    <definedName name="solver_opt" localSheetId="16" hidden="1">'Parameter Optimization'!$J$4</definedName>
    <definedName name="solver_opt" localSheetId="4" hidden="1">Simple!$A$1</definedName>
    <definedName name="solver_opt" localSheetId="9" hidden="1">'Simple linear Reg'!$D$2</definedName>
    <definedName name="solver_pre" localSheetId="8" hidden="1">0.000001</definedName>
    <definedName name="solver_pre" localSheetId="6" hidden="1">0.000001</definedName>
    <definedName name="solver_pre" localSheetId="2" hidden="1">0.000001</definedName>
    <definedName name="solver_pre" localSheetId="7" hidden="1">0.000001</definedName>
    <definedName name="solver_pre" localSheetId="16" hidden="1">0.000001</definedName>
    <definedName name="solver_rbv" localSheetId="8" hidden="1">2</definedName>
    <definedName name="solver_rbv" localSheetId="6" hidden="1">1</definedName>
    <definedName name="solver_rbv" localSheetId="2" hidden="1">1</definedName>
    <definedName name="solver_rbv" localSheetId="7" hidden="1">2</definedName>
    <definedName name="solver_rbv" localSheetId="16" hidden="1">1</definedName>
    <definedName name="solver_rel1" localSheetId="8" hidden="1">1</definedName>
    <definedName name="solver_rel1" localSheetId="6" hidden="1">1</definedName>
    <definedName name="solver_rel1" localSheetId="7" hidden="1">1</definedName>
    <definedName name="solver_rel1" localSheetId="16" hidden="1">1</definedName>
    <definedName name="solver_rel2" localSheetId="8" hidden="1">3</definedName>
    <definedName name="solver_rel2" localSheetId="6" hidden="1">3</definedName>
    <definedName name="solver_rel2" localSheetId="7" hidden="1">3</definedName>
    <definedName name="solver_rel2" localSheetId="16" hidden="1">3</definedName>
    <definedName name="solver_rhs1" localSheetId="8" hidden="1">1</definedName>
    <definedName name="solver_rhs1" localSheetId="6" hidden="1">1</definedName>
    <definedName name="solver_rhs1" localSheetId="7" hidden="1">1</definedName>
    <definedName name="solver_rhs1" localSheetId="16" hidden="1">1</definedName>
    <definedName name="solver_rhs2" localSheetId="8" hidden="1">0</definedName>
    <definedName name="solver_rhs2" localSheetId="6" hidden="1">0</definedName>
    <definedName name="solver_rhs2" localSheetId="7" hidden="1">0</definedName>
    <definedName name="solver_rhs2" localSheetId="16" hidden="1">0</definedName>
    <definedName name="solver_rlx" localSheetId="8" hidden="1">2</definedName>
    <definedName name="solver_rlx" localSheetId="6" hidden="1">1</definedName>
    <definedName name="solver_rlx" localSheetId="2" hidden="1">2</definedName>
    <definedName name="solver_rlx" localSheetId="7" hidden="1">2</definedName>
    <definedName name="solver_rlx" localSheetId="16" hidden="1">2</definedName>
    <definedName name="solver_rsd" localSheetId="8" hidden="1">0</definedName>
    <definedName name="solver_rsd" localSheetId="6" hidden="1">0</definedName>
    <definedName name="solver_rsd" localSheetId="2" hidden="1">0</definedName>
    <definedName name="solver_rsd" localSheetId="7" hidden="1">0</definedName>
    <definedName name="solver_rsd" localSheetId="16" hidden="1">0</definedName>
    <definedName name="solver_scl" localSheetId="8" hidden="1">2</definedName>
    <definedName name="solver_scl" localSheetId="6" hidden="1">2</definedName>
    <definedName name="solver_scl" localSheetId="2" hidden="1">1</definedName>
    <definedName name="solver_scl" localSheetId="7" hidden="1">2</definedName>
    <definedName name="solver_scl" localSheetId="16" hidden="1">1</definedName>
    <definedName name="solver_sho" localSheetId="8" hidden="1">2</definedName>
    <definedName name="solver_sho" localSheetId="6" hidden="1">2</definedName>
    <definedName name="solver_sho" localSheetId="2" hidden="1">2</definedName>
    <definedName name="solver_sho" localSheetId="7" hidden="1">2</definedName>
    <definedName name="solver_sho" localSheetId="16" hidden="1">2</definedName>
    <definedName name="solver_ssz" localSheetId="8" hidden="1">100</definedName>
    <definedName name="solver_ssz" localSheetId="6" hidden="1">100</definedName>
    <definedName name="solver_ssz" localSheetId="2" hidden="1">100</definedName>
    <definedName name="solver_ssz" localSheetId="7" hidden="1">100</definedName>
    <definedName name="solver_ssz" localSheetId="16" hidden="1">100</definedName>
    <definedName name="solver_tim" localSheetId="8" hidden="1">2147483647</definedName>
    <definedName name="solver_tim" localSheetId="6" hidden="1">2147483647</definedName>
    <definedName name="solver_tim" localSheetId="2" hidden="1">2147483647</definedName>
    <definedName name="solver_tim" localSheetId="7" hidden="1">2147483647</definedName>
    <definedName name="solver_tim" localSheetId="16" hidden="1">2147483647</definedName>
    <definedName name="solver_tol" localSheetId="8" hidden="1">0.01</definedName>
    <definedName name="solver_tol" localSheetId="6" hidden="1">0.01</definedName>
    <definedName name="solver_tol" localSheetId="2" hidden="1">0.01</definedName>
    <definedName name="solver_tol" localSheetId="7" hidden="1">0.01</definedName>
    <definedName name="solver_tol" localSheetId="16" hidden="1">0.01</definedName>
    <definedName name="solver_typ" localSheetId="8" hidden="1">2</definedName>
    <definedName name="solver_typ" localSheetId="6" hidden="1">2</definedName>
    <definedName name="solver_typ" localSheetId="2" hidden="1">1</definedName>
    <definedName name="solver_typ" localSheetId="7" hidden="1">2</definedName>
    <definedName name="solver_typ" localSheetId="16" hidden="1">2</definedName>
    <definedName name="solver_typ" localSheetId="4" hidden="1">1</definedName>
    <definedName name="solver_typ" localSheetId="9" hidden="1">1</definedName>
    <definedName name="solver_val" localSheetId="8" hidden="1">0</definedName>
    <definedName name="solver_val" localSheetId="6" hidden="1">0</definedName>
    <definedName name="solver_val" localSheetId="2" hidden="1">0</definedName>
    <definedName name="solver_val" localSheetId="7" hidden="1">0</definedName>
    <definedName name="solver_val" localSheetId="16" hidden="1">0</definedName>
    <definedName name="solver_val" localSheetId="4" hidden="1">0</definedName>
    <definedName name="solver_val" localSheetId="9" hidden="1">0</definedName>
    <definedName name="solver_ver" localSheetId="8" hidden="1">3</definedName>
    <definedName name="solver_ver" localSheetId="6" hidden="1">2</definedName>
    <definedName name="solver_ver" localSheetId="2" hidden="1">2</definedName>
    <definedName name="solver_ver" localSheetId="7" hidden="1">3</definedName>
    <definedName name="solver_ver" localSheetId="16" hidden="1">2</definedName>
    <definedName name="solver_ver" localSheetId="4" hidden="1">2</definedName>
    <definedName name="solver_ver" localSheetId="9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0" l="1"/>
  <c r="I15" i="17" l="1"/>
  <c r="F13" i="19" l="1"/>
  <c r="H2" i="19"/>
  <c r="G2" i="19"/>
  <c r="F2" i="19"/>
  <c r="E2" i="14"/>
  <c r="F2" i="14"/>
  <c r="F6" i="13"/>
  <c r="C3" i="10"/>
  <c r="C13" i="5"/>
  <c r="D3" i="5"/>
  <c r="C3" i="2"/>
  <c r="H18" i="17"/>
  <c r="D4" i="5" l="1"/>
  <c r="C3" i="5"/>
  <c r="E2" i="5"/>
  <c r="D2" i="5"/>
  <c r="F3" i="6"/>
  <c r="C3" i="6"/>
  <c r="D3" i="6"/>
  <c r="E3" i="6" s="1"/>
  <c r="E2" i="6"/>
  <c r="D2" i="6"/>
  <c r="B23" i="19"/>
  <c r="B22" i="19"/>
  <c r="F3" i="13"/>
  <c r="G2" i="13"/>
  <c r="F2" i="13"/>
  <c r="H4" i="13"/>
  <c r="H3" i="13"/>
  <c r="H2" i="13"/>
  <c r="H5" i="13"/>
  <c r="D3" i="10"/>
  <c r="E3" i="10" s="1"/>
  <c r="E2" i="10"/>
  <c r="D2" i="10"/>
  <c r="C4" i="2"/>
  <c r="C5" i="2" s="1"/>
  <c r="C6" i="2" s="1"/>
  <c r="C7" i="2" s="1"/>
  <c r="C8" i="2" s="1"/>
  <c r="C9" i="2" s="1"/>
  <c r="C10" i="2" s="1"/>
  <c r="C11" i="2" s="1"/>
  <c r="C12" i="2" s="1"/>
  <c r="F15" i="27"/>
  <c r="H7" i="27"/>
  <c r="G4" i="27"/>
  <c r="F5" i="27"/>
  <c r="E7" i="27"/>
  <c r="D4" i="27"/>
  <c r="C12" i="27"/>
  <c r="C5" i="27"/>
  <c r="F9" i="27"/>
  <c r="C5" i="7"/>
  <c r="E7" i="7"/>
  <c r="D4" i="7"/>
  <c r="C6" i="7"/>
  <c r="C7" i="7"/>
  <c r="C8" i="7"/>
  <c r="C9" i="7"/>
  <c r="C10" i="7"/>
  <c r="C11" i="7"/>
  <c r="C12" i="7"/>
  <c r="K2" i="25"/>
  <c r="K3" i="25"/>
  <c r="K4" i="25"/>
  <c r="K5" i="25"/>
  <c r="K6" i="25"/>
  <c r="K7" i="25"/>
  <c r="K8" i="25"/>
  <c r="K9" i="25"/>
  <c r="K10" i="25"/>
  <c r="K11" i="25"/>
  <c r="K12" i="25"/>
  <c r="K13" i="25"/>
  <c r="J13" i="25"/>
  <c r="J2" i="25"/>
  <c r="J3" i="25"/>
  <c r="J4" i="25"/>
  <c r="J5" i="25"/>
  <c r="J6" i="25"/>
  <c r="J7" i="25"/>
  <c r="J8" i="25"/>
  <c r="J9" i="25"/>
  <c r="J10" i="25"/>
  <c r="J11" i="25"/>
  <c r="J12" i="25"/>
  <c r="I2" i="25"/>
  <c r="I3" i="25"/>
  <c r="I4" i="25"/>
  <c r="I5" i="25"/>
  <c r="I6" i="25"/>
  <c r="I7" i="25"/>
  <c r="I8" i="25"/>
  <c r="I9" i="25"/>
  <c r="I10" i="25"/>
  <c r="I11" i="25"/>
  <c r="I12" i="25"/>
  <c r="I13" i="25"/>
  <c r="H6" i="25"/>
  <c r="H2" i="25"/>
  <c r="G3" i="25"/>
  <c r="G4" i="25"/>
  <c r="G5" i="25"/>
  <c r="G6" i="25"/>
  <c r="G7" i="25"/>
  <c r="G8" i="25"/>
  <c r="G9" i="25"/>
  <c r="G10" i="25"/>
  <c r="G11" i="25"/>
  <c r="G12" i="25"/>
  <c r="G13" i="25"/>
  <c r="G2" i="25"/>
  <c r="F3" i="25"/>
  <c r="F4" i="25"/>
  <c r="F5" i="25"/>
  <c r="F6" i="25"/>
  <c r="F7" i="25"/>
  <c r="F8" i="25"/>
  <c r="F9" i="25"/>
  <c r="F10" i="25"/>
  <c r="F11" i="25"/>
  <c r="F12" i="25"/>
  <c r="F13" i="25"/>
  <c r="F2" i="25"/>
  <c r="E2" i="25"/>
  <c r="D3" i="25"/>
  <c r="D4" i="25"/>
  <c r="D5" i="25"/>
  <c r="D6" i="25"/>
  <c r="D7" i="25"/>
  <c r="D8" i="25"/>
  <c r="D9" i="25"/>
  <c r="D10" i="25"/>
  <c r="D11" i="25"/>
  <c r="D12" i="25"/>
  <c r="D13" i="25"/>
  <c r="D2" i="25"/>
  <c r="D2" i="14"/>
  <c r="D3" i="14" s="1"/>
  <c r="F3" i="14"/>
  <c r="C3" i="14" l="1"/>
  <c r="E3" i="5"/>
  <c r="D4" i="10"/>
  <c r="E4" i="10" s="1"/>
  <c r="C5" i="10" s="1"/>
  <c r="C4" i="10"/>
  <c r="I14" i="17"/>
  <c r="J14" i="17"/>
  <c r="K14" i="17"/>
  <c r="J15" i="17"/>
  <c r="K15" i="17"/>
  <c r="L15" i="17"/>
  <c r="I16" i="17"/>
  <c r="J16" i="17"/>
  <c r="K16" i="17"/>
  <c r="L16" i="17"/>
  <c r="I17" i="17"/>
  <c r="J17" i="17"/>
  <c r="K17" i="17"/>
  <c r="L17" i="17"/>
  <c r="I18" i="17"/>
  <c r="J18" i="17"/>
  <c r="K18" i="17"/>
  <c r="L18" i="17"/>
  <c r="H15" i="17"/>
  <c r="H16" i="17"/>
  <c r="H17" i="17"/>
  <c r="H14" i="17"/>
  <c r="G12" i="20"/>
  <c r="C4" i="5" l="1"/>
  <c r="D5" i="10"/>
  <c r="E13" i="25"/>
  <c r="E3" i="25"/>
  <c r="E4" i="25"/>
  <c r="E5" i="25"/>
  <c r="E6" i="25"/>
  <c r="E7" i="25"/>
  <c r="E8" i="25"/>
  <c r="E9" i="25"/>
  <c r="E10" i="25"/>
  <c r="E11" i="25"/>
  <c r="E12" i="25"/>
  <c r="G3" i="6"/>
  <c r="C14" i="19"/>
  <c r="G3" i="13"/>
  <c r="G15" i="27"/>
  <c r="D12" i="7"/>
  <c r="H8" i="27"/>
  <c r="H9" i="27"/>
  <c r="H10" i="27"/>
  <c r="H11" i="27"/>
  <c r="H15" i="27"/>
  <c r="F6" i="27"/>
  <c r="F7" i="27"/>
  <c r="F8" i="27"/>
  <c r="F10" i="27"/>
  <c r="F11" i="27"/>
  <c r="G5" i="27"/>
  <c r="G6" i="27"/>
  <c r="G7" i="27"/>
  <c r="G8" i="27"/>
  <c r="G9" i="27"/>
  <c r="G10" i="27"/>
  <c r="G11" i="27"/>
  <c r="E4" i="5" l="1"/>
  <c r="C5" i="5" s="1"/>
  <c r="D5" i="5"/>
  <c r="F4" i="13"/>
  <c r="G4" i="13" s="1"/>
  <c r="E5" i="10"/>
  <c r="C6" i="10" s="1"/>
  <c r="J2" i="10"/>
  <c r="D5" i="27"/>
  <c r="E14" i="7"/>
  <c r="E13" i="7"/>
  <c r="E8" i="7"/>
  <c r="E9" i="7"/>
  <c r="E10" i="7"/>
  <c r="E11" i="7"/>
  <c r="E12" i="7"/>
  <c r="D5" i="7"/>
  <c r="D6" i="7"/>
  <c r="D7" i="7"/>
  <c r="D8" i="7"/>
  <c r="D9" i="7"/>
  <c r="D10" i="7"/>
  <c r="D11" i="7"/>
  <c r="D13" i="7"/>
  <c r="D14" i="7" s="1"/>
  <c r="C13" i="19"/>
  <c r="K3" i="26"/>
  <c r="L3" i="26"/>
  <c r="K4" i="26"/>
  <c r="L4" i="26"/>
  <c r="E5" i="5" l="1"/>
  <c r="D6" i="10"/>
  <c r="E6" i="10"/>
  <c r="C7" i="10" s="1"/>
  <c r="H4" i="25"/>
  <c r="H13" i="25"/>
  <c r="C9" i="27"/>
  <c r="D9" i="27"/>
  <c r="D10" i="27"/>
  <c r="D7" i="27"/>
  <c r="E11" i="27"/>
  <c r="C6" i="27"/>
  <c r="E12" i="27"/>
  <c r="E13" i="27" s="1"/>
  <c r="E14" i="27" s="1"/>
  <c r="D6" i="27"/>
  <c r="C10" i="27"/>
  <c r="D11" i="27"/>
  <c r="E8" i="27"/>
  <c r="C8" i="27"/>
  <c r="E10" i="27"/>
  <c r="C13" i="27"/>
  <c r="C14" i="27" s="1"/>
  <c r="D8" i="27"/>
  <c r="E9" i="27"/>
  <c r="C11" i="27"/>
  <c r="D12" i="27"/>
  <c r="D13" i="27" s="1"/>
  <c r="D14" i="27" s="1"/>
  <c r="C7" i="27"/>
  <c r="L4" i="25" a="1"/>
  <c r="L4" i="25" s="1"/>
  <c r="L6" i="25" a="1"/>
  <c r="L6" i="25" s="1"/>
  <c r="L8" i="25" a="1"/>
  <c r="L8" i="25" s="1"/>
  <c r="L10" i="25" a="1"/>
  <c r="L10" i="25" s="1"/>
  <c r="L12" i="25" a="1"/>
  <c r="L12" i="25" s="1"/>
  <c r="L2" i="25"/>
  <c r="L3" i="25" a="1"/>
  <c r="L3" i="25" s="1"/>
  <c r="L5" i="25" a="1"/>
  <c r="L5" i="25" s="1"/>
  <c r="L7" i="25" a="1"/>
  <c r="L7" i="25" s="1"/>
  <c r="L9" i="25" a="1"/>
  <c r="L9" i="25" s="1"/>
  <c r="L11" i="25" a="1"/>
  <c r="L11" i="25" s="1"/>
  <c r="L13" i="25" a="1"/>
  <c r="L13" i="25" s="1"/>
  <c r="D6" i="5" l="1"/>
  <c r="C6" i="5"/>
  <c r="D7" i="10"/>
  <c r="H3" i="25"/>
  <c r="H5" i="25"/>
  <c r="H7" i="25"/>
  <c r="H9" i="25"/>
  <c r="H11" i="25"/>
  <c r="H10" i="25"/>
  <c r="H12" i="25"/>
  <c r="H8" i="25"/>
  <c r="E6" i="5" l="1"/>
  <c r="C7" i="5" s="1"/>
  <c r="D7" i="5"/>
  <c r="E7" i="10"/>
  <c r="C8" i="10" s="1"/>
  <c r="C13" i="2"/>
  <c r="C14" i="2" s="1"/>
  <c r="D3" i="19"/>
  <c r="D4" i="19"/>
  <c r="D5" i="19"/>
  <c r="D6" i="19"/>
  <c r="D7" i="19"/>
  <c r="D8" i="19"/>
  <c r="D9" i="19"/>
  <c r="D2" i="19"/>
  <c r="F12" i="22"/>
  <c r="E7" i="5" l="1"/>
  <c r="D8" i="10"/>
  <c r="J3" i="10"/>
  <c r="D8" i="5" l="1"/>
  <c r="C8" i="5"/>
  <c r="E8" i="10"/>
  <c r="D9" i="10" s="1"/>
  <c r="G15" i="20"/>
  <c r="G14" i="20"/>
  <c r="G13" i="20"/>
  <c r="E8" i="5" l="1"/>
  <c r="C9" i="5" s="1"/>
  <c r="D9" i="5"/>
  <c r="E9" i="10"/>
  <c r="C10" i="10" s="1"/>
  <c r="C9" i="10"/>
  <c r="F16" i="24"/>
  <c r="F17" i="24" s="1"/>
  <c r="E16" i="24"/>
  <c r="D16" i="24"/>
  <c r="B16" i="24"/>
  <c r="C16" i="24"/>
  <c r="B12" i="22"/>
  <c r="C12" i="22"/>
  <c r="F13" i="22"/>
  <c r="B24" i="19"/>
  <c r="B10" i="19"/>
  <c r="C11" i="19"/>
  <c r="E3" i="19"/>
  <c r="E4" i="19"/>
  <c r="E5" i="19"/>
  <c r="E6" i="19"/>
  <c r="E7" i="19"/>
  <c r="E8" i="19"/>
  <c r="E9" i="19"/>
  <c r="E2" i="19"/>
  <c r="E11" i="19" s="1"/>
  <c r="D10" i="19"/>
  <c r="E9" i="5" l="1"/>
  <c r="D10" i="10"/>
  <c r="B25" i="19"/>
  <c r="C4" i="16"/>
  <c r="C5" i="16"/>
  <c r="C6" i="16"/>
  <c r="C7" i="16"/>
  <c r="C8" i="16"/>
  <c r="C9" i="16"/>
  <c r="C10" i="16"/>
  <c r="C11" i="16"/>
  <c r="C12" i="16"/>
  <c r="C13" i="16" s="1"/>
  <c r="C14" i="16" s="1"/>
  <c r="C3" i="16"/>
  <c r="D10" i="5" l="1"/>
  <c r="C10" i="5"/>
  <c r="E10" i="10"/>
  <c r="D11" i="10" s="1"/>
  <c r="C13" i="7"/>
  <c r="C14" i="7" s="1"/>
  <c r="E10" i="5" l="1"/>
  <c r="E11" i="10"/>
  <c r="C14" i="10" s="1"/>
  <c r="C11" i="10"/>
  <c r="I12" i="22"/>
  <c r="F5" i="14"/>
  <c r="F4" i="14"/>
  <c r="D11" i="5" l="1"/>
  <c r="C11" i="5"/>
  <c r="C12" i="10"/>
  <c r="E3" i="14"/>
  <c r="D4" i="14" s="1"/>
  <c r="F5" i="13"/>
  <c r="E11" i="5" l="1"/>
  <c r="E4" i="14"/>
  <c r="D5" i="14" s="1"/>
  <c r="C4" i="14"/>
  <c r="G5" i="13"/>
  <c r="E6" i="13" s="1"/>
  <c r="C14" i="5" l="1"/>
  <c r="C12" i="5"/>
  <c r="H6" i="13"/>
  <c r="C5" i="14"/>
  <c r="G6" i="13" l="1"/>
  <c r="E7" i="13" s="1"/>
  <c r="J4" i="10"/>
  <c r="F7" i="13"/>
  <c r="E5" i="14"/>
  <c r="D6" i="14" l="1"/>
  <c r="C6" i="14"/>
  <c r="H7" i="13"/>
  <c r="D4" i="6"/>
  <c r="E4" i="6" s="1"/>
  <c r="G7" i="13"/>
  <c r="E8" i="13" s="1"/>
  <c r="F6" i="14" l="1"/>
  <c r="J5" i="10"/>
  <c r="C4" i="6"/>
  <c r="F4" i="6" s="1"/>
  <c r="D5" i="6"/>
  <c r="E5" i="6" s="1"/>
  <c r="F8" i="13"/>
  <c r="H8" i="13" l="1"/>
  <c r="G4" i="6"/>
  <c r="D6" i="6"/>
  <c r="E6" i="6" s="1"/>
  <c r="C5" i="6"/>
  <c r="F5" i="6" s="1"/>
  <c r="G5" i="6" s="1"/>
  <c r="G8" i="13"/>
  <c r="F9" i="13" s="1"/>
  <c r="H9" i="13" l="1"/>
  <c r="E9" i="13"/>
  <c r="J6" i="10"/>
  <c r="J7" i="10"/>
  <c r="C6" i="6"/>
  <c r="F6" i="6" s="1"/>
  <c r="G6" i="6" s="1"/>
  <c r="C7" i="6"/>
  <c r="F7" i="6" s="1"/>
  <c r="G7" i="6" s="1"/>
  <c r="D7" i="6"/>
  <c r="E7" i="6" s="1"/>
  <c r="G9" i="13"/>
  <c r="F10" i="13" s="1"/>
  <c r="E10" i="13" l="1"/>
  <c r="H10" i="13"/>
  <c r="G10" i="13"/>
  <c r="F11" i="13" s="1"/>
  <c r="C8" i="6"/>
  <c r="F8" i="6" s="1"/>
  <c r="D8" i="6"/>
  <c r="E12" i="13" l="1"/>
  <c r="E11" i="13"/>
  <c r="E8" i="6"/>
  <c r="C9" i="6" s="1"/>
  <c r="F9" i="6" s="1"/>
  <c r="G9" i="6" s="1"/>
  <c r="G11" i="13"/>
  <c r="H11" i="13"/>
  <c r="G8" i="6"/>
  <c r="D9" i="6" l="1"/>
  <c r="E9" i="6" s="1"/>
  <c r="J9" i="10"/>
  <c r="J8" i="10"/>
  <c r="F12" i="13"/>
  <c r="C10" i="6" l="1"/>
  <c r="F10" i="6" s="1"/>
  <c r="G10" i="6" s="1"/>
  <c r="D10" i="6"/>
  <c r="H12" i="13"/>
  <c r="G12" i="13"/>
  <c r="F13" i="13" s="1"/>
  <c r="E13" i="13" l="1"/>
  <c r="E10" i="6"/>
  <c r="C11" i="6" s="1"/>
  <c r="F11" i="6" s="1"/>
  <c r="J4" i="6" s="1"/>
  <c r="J10" i="10"/>
  <c r="G13" i="13"/>
  <c r="F14" i="13" s="1"/>
  <c r="H13" i="13"/>
  <c r="E14" i="13" l="1"/>
  <c r="D11" i="6"/>
  <c r="H14" i="13"/>
  <c r="G14" i="13"/>
  <c r="F15" i="13" s="1"/>
  <c r="E15" i="13" l="1"/>
  <c r="E11" i="6"/>
  <c r="C12" i="6" s="1"/>
  <c r="G11" i="6"/>
  <c r="J3" i="6" s="1"/>
  <c r="J11" i="10"/>
  <c r="K2" i="10" s="1"/>
  <c r="G15" i="13"/>
  <c r="F16" i="13" s="1"/>
  <c r="H15" i="13"/>
  <c r="E16" i="13" l="1"/>
  <c r="H16" i="13"/>
  <c r="G16" i="13"/>
  <c r="E17" i="13" s="1"/>
  <c r="F17" i="13" l="1"/>
  <c r="G17" i="13" l="1"/>
  <c r="F18" i="13" s="1"/>
  <c r="H17" i="13"/>
  <c r="H18" i="13" l="1"/>
  <c r="E18" i="13"/>
  <c r="G18" i="13"/>
  <c r="E19" i="13" s="1"/>
  <c r="F19" i="13" l="1"/>
  <c r="H19" i="13" l="1"/>
  <c r="G19" i="13"/>
  <c r="F20" i="13" s="1"/>
  <c r="E20" i="13" l="1"/>
  <c r="H20" i="13"/>
  <c r="G20" i="13"/>
  <c r="E21" i="13" s="1"/>
  <c r="F21" i="13" l="1"/>
  <c r="G21" i="13" l="1"/>
  <c r="E24" i="13" s="1"/>
  <c r="H21" i="13"/>
  <c r="E6" i="14"/>
  <c r="C7" i="14" s="1"/>
  <c r="E23" i="13" l="1"/>
  <c r="E25" i="13"/>
  <c r="E22" i="13"/>
  <c r="D7" i="14"/>
  <c r="E7" i="14" l="1"/>
  <c r="D8" i="14" s="1"/>
  <c r="E8" i="14" s="1"/>
  <c r="C9" i="14" s="1"/>
  <c r="F7" i="14"/>
  <c r="C8" i="14" l="1"/>
  <c r="F8" i="14"/>
  <c r="D9" i="14"/>
  <c r="E9" i="14" s="1"/>
  <c r="C10" i="14" s="1"/>
  <c r="D10" i="14" l="1"/>
  <c r="F10" i="14" s="1"/>
  <c r="F9" i="14"/>
  <c r="E10" i="14" l="1"/>
  <c r="D11" i="14" s="1"/>
  <c r="C11" i="14"/>
  <c r="F11" i="14" l="1"/>
  <c r="E11" i="14"/>
  <c r="C12" i="14" s="1"/>
  <c r="D12" i="14" l="1"/>
  <c r="F12" i="14" l="1"/>
  <c r="E12" i="14"/>
  <c r="C13" i="14" s="1"/>
  <c r="D13" i="14"/>
  <c r="E13" i="14" l="1"/>
  <c r="F13" i="14"/>
  <c r="C14" i="14" l="1"/>
  <c r="D14" i="14"/>
  <c r="E14" i="14" l="1"/>
  <c r="C15" i="14" s="1"/>
  <c r="F14" i="14"/>
  <c r="D15" i="14"/>
  <c r="E15" i="14" l="1"/>
  <c r="D16" i="14" s="1"/>
  <c r="F15" i="14"/>
  <c r="C16" i="14"/>
  <c r="F16" i="14" l="1"/>
  <c r="E16" i="14"/>
  <c r="C17" i="14" s="1"/>
  <c r="D17" i="14"/>
  <c r="E17" i="14" l="1"/>
  <c r="C18" i="14"/>
  <c r="D18" i="14"/>
  <c r="F17" i="14"/>
  <c r="F18" i="14" l="1"/>
  <c r="F22" i="14" s="1"/>
  <c r="E18" i="14"/>
  <c r="C19" i="14" l="1"/>
  <c r="D19" i="14"/>
  <c r="E19" i="14" l="1"/>
  <c r="D20" i="14" s="1"/>
  <c r="F19" i="14"/>
  <c r="F23" i="14" s="1"/>
  <c r="C20" i="14"/>
  <c r="E20" i="14" l="1"/>
  <c r="C21" i="14" s="1"/>
  <c r="F20" i="14"/>
  <c r="F24" i="14" s="1"/>
  <c r="D21" i="14"/>
  <c r="E21" i="14" l="1"/>
  <c r="F21" i="14"/>
  <c r="F25" i="14" s="1"/>
  <c r="C22" i="14"/>
  <c r="E22" i="14" l="1"/>
  <c r="E23" i="14" s="1"/>
  <c r="E24" i="14" s="1"/>
  <c r="E25" i="14" s="1"/>
  <c r="D22" i="14"/>
  <c r="D23" i="14" l="1"/>
  <c r="C23" i="14"/>
  <c r="D24" i="14" l="1"/>
  <c r="C24" i="14"/>
  <c r="C25" i="14" l="1"/>
  <c r="D25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<sst xmlns="http://schemas.openxmlformats.org/spreadsheetml/2006/main" count="235" uniqueCount="129">
  <si>
    <t>Date</t>
  </si>
  <si>
    <t>Demand</t>
  </si>
  <si>
    <t>Forecast</t>
  </si>
  <si>
    <t>Forecast (n=3)</t>
  </si>
  <si>
    <t>Forecast (n=2)</t>
  </si>
  <si>
    <t>Forecast (n=5)</t>
  </si>
  <si>
    <t>n=3</t>
  </si>
  <si>
    <t>Abs Error</t>
  </si>
  <si>
    <t>Mean Abs. Error</t>
  </si>
  <si>
    <t>moving average</t>
  </si>
  <si>
    <t xml:space="preserve">Exponential Smoothing </t>
  </si>
  <si>
    <t>period</t>
  </si>
  <si>
    <t>n=1</t>
  </si>
  <si>
    <t>n=2</t>
  </si>
  <si>
    <t>n=4</t>
  </si>
  <si>
    <t>n=5</t>
  </si>
  <si>
    <t>alpha=0.2</t>
  </si>
  <si>
    <t>alpha=0.4</t>
  </si>
  <si>
    <t>alpha=0.6</t>
  </si>
  <si>
    <t>alpha=0.8</t>
  </si>
  <si>
    <t>alpha=0.10</t>
  </si>
  <si>
    <t>t = 1</t>
  </si>
  <si>
    <t>t = 2</t>
  </si>
  <si>
    <t>t = 3</t>
  </si>
  <si>
    <t>t = 4</t>
  </si>
  <si>
    <t>t = 5</t>
  </si>
  <si>
    <t>Alpha:</t>
  </si>
  <si>
    <t>Level (a)</t>
  </si>
  <si>
    <t>Trend (b)</t>
  </si>
  <si>
    <t>Beta:</t>
  </si>
  <si>
    <t>Phi:</t>
  </si>
  <si>
    <t>Season</t>
  </si>
  <si>
    <t>Period per season</t>
  </si>
  <si>
    <t>Season (s)</t>
  </si>
  <si>
    <t>Gamma:</t>
  </si>
  <si>
    <t>P=4</t>
  </si>
  <si>
    <t>Quarter</t>
  </si>
  <si>
    <r>
      <t>Number of Housing Starts (0,000 units) (</t>
    </r>
    <r>
      <rPr>
        <i/>
        <sz val="12"/>
        <color theme="1"/>
        <rFont val="Calibri"/>
        <family val="2"/>
        <scheme val="minor"/>
      </rPr>
      <t>x</t>
    </r>
    <r>
      <rPr>
        <sz val="12"/>
        <color theme="1"/>
        <rFont val="Calibri"/>
        <family val="2"/>
        <scheme val="minor"/>
      </rPr>
      <t>)</t>
    </r>
  </si>
  <si>
    <r>
      <t>Sales (US$000,000) (</t>
    </r>
    <r>
      <rPr>
        <i/>
        <sz val="12"/>
        <color theme="1"/>
        <rFont val="Calibri"/>
        <family val="2"/>
        <scheme val="minor"/>
      </rPr>
      <t>y)</t>
    </r>
  </si>
  <si>
    <t>x²</t>
  </si>
  <si>
    <t>xy</t>
  </si>
  <si>
    <t>SUMMARY OUTPUT</t>
  </si>
  <si>
    <t>Regression Statistics</t>
  </si>
  <si>
    <t>Multiple R</t>
  </si>
  <si>
    <t>R Square</t>
  </si>
  <si>
    <t>Adjusted R Square</t>
  </si>
  <si>
    <r>
      <t>∑</t>
    </r>
    <r>
      <rPr>
        <i/>
        <sz val="12"/>
        <color theme="1"/>
        <rFont val="Arial"/>
        <family val="2"/>
      </rPr>
      <t>x</t>
    </r>
  </si>
  <si>
    <t>∑x²</t>
  </si>
  <si>
    <t>Standard Error</t>
  </si>
  <si>
    <r>
      <t>∑</t>
    </r>
    <r>
      <rPr>
        <i/>
        <sz val="12"/>
        <color theme="1"/>
        <rFont val="Arial"/>
        <family val="2"/>
      </rPr>
      <t>y</t>
    </r>
  </si>
  <si>
    <r>
      <t>∑</t>
    </r>
    <r>
      <rPr>
        <i/>
        <sz val="12"/>
        <color theme="1"/>
        <rFont val="Arial"/>
        <family val="2"/>
      </rPr>
      <t>xy</t>
    </r>
  </si>
  <si>
    <t>Observations</t>
  </si>
  <si>
    <r>
      <rPr>
        <i/>
        <sz val="12"/>
        <color theme="1"/>
        <rFont val="Arial"/>
        <family val="2"/>
      </rPr>
      <t>b1</t>
    </r>
    <r>
      <rPr>
        <sz val="12"/>
        <color theme="1"/>
        <rFont val="Arial"/>
        <family val="2"/>
      </rPr>
      <t xml:space="preserve"> or slope</t>
    </r>
  </si>
  <si>
    <t>ANOVA</t>
  </si>
  <si>
    <r>
      <rPr>
        <sz val="12"/>
        <color theme="1"/>
        <rFont val="Calibri"/>
        <family val="2"/>
        <scheme val="minor"/>
      </rPr>
      <t xml:space="preserve">b2 </t>
    </r>
    <r>
      <rPr>
        <sz val="12"/>
        <color theme="1"/>
        <rFont val="Arial"/>
        <family val="2"/>
      </rPr>
      <t xml:space="preserve">or </t>
    </r>
    <r>
      <rPr>
        <i/>
        <sz val="12"/>
        <color theme="1"/>
        <rFont val="Arial"/>
        <family val="2"/>
      </rPr>
      <t>y</t>
    </r>
    <r>
      <rPr>
        <sz val="12"/>
        <color theme="1"/>
        <rFont val="Arial"/>
        <family val="2"/>
      </rPr>
      <t>-axis</t>
    </r>
  </si>
  <si>
    <t>df</t>
  </si>
  <si>
    <t>SS</t>
  </si>
  <si>
    <t>MS</t>
  </si>
  <si>
    <t>F</t>
  </si>
  <si>
    <t>Significance F</t>
  </si>
  <si>
    <t>Regression</t>
  </si>
  <si>
    <t>Housing Starts Options</t>
  </si>
  <si>
    <t>Residual</t>
  </si>
  <si>
    <t>Opt1</t>
  </si>
  <si>
    <t>Opt 2</t>
  </si>
  <si>
    <t>Opt 3</t>
  </si>
  <si>
    <t>Opt 4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</si>
  <si>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</si>
  <si>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</si>
  <si>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</si>
  <si>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</si>
  <si>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</si>
  <si>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</si>
  <si>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</si>
  <si>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</si>
  <si>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</si>
  <si>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Option</t>
  </si>
  <si>
    <t>Slope</t>
  </si>
  <si>
    <t>X Variable 1</t>
  </si>
  <si>
    <t>Opt 1</t>
  </si>
  <si>
    <r>
      <t>Interest Rates (</t>
    </r>
    <r>
      <rPr>
        <i/>
        <sz val="12"/>
        <color theme="1"/>
        <rFont val="Arial"/>
        <family val="2"/>
      </rPr>
      <t>x1</t>
    </r>
    <r>
      <rPr>
        <sz val="12"/>
        <color theme="1"/>
        <rFont val="Arial"/>
        <family val="2"/>
      </rPr>
      <t>)</t>
    </r>
  </si>
  <si>
    <r>
      <t>Number of Housing Starts (0,000 units) (</t>
    </r>
    <r>
      <rPr>
        <i/>
        <sz val="12"/>
        <color theme="1"/>
        <rFont val="Arial"/>
        <family val="2"/>
      </rPr>
      <t>x2</t>
    </r>
    <r>
      <rPr>
        <sz val="12"/>
        <color theme="1"/>
        <rFont val="Arial"/>
        <family val="2"/>
      </rPr>
      <t>)</t>
    </r>
  </si>
  <si>
    <r>
      <t>Sales (</t>
    </r>
    <r>
      <rPr>
        <i/>
        <sz val="12"/>
        <color theme="1"/>
        <rFont val="Arial"/>
        <family val="2"/>
      </rPr>
      <t>y)</t>
    </r>
  </si>
  <si>
    <t>Forecast Options</t>
  </si>
  <si>
    <t>Interest Rates</t>
  </si>
  <si>
    <t>Housing Starts</t>
  </si>
  <si>
    <t>Totals</t>
  </si>
  <si>
    <t>Sales Forecast</t>
  </si>
  <si>
    <t>Sales</t>
  </si>
  <si>
    <t>Period</t>
  </si>
  <si>
    <t>Forecast Error (FE)</t>
  </si>
  <si>
    <t>Cum FE Error</t>
  </si>
  <si>
    <t>Absolute Error</t>
  </si>
  <si>
    <t>MAD</t>
  </si>
  <si>
    <t>Tracking Signal</t>
  </si>
  <si>
    <t>Absolute Percent Error (APE)</t>
  </si>
  <si>
    <t>MAPE</t>
  </si>
  <si>
    <t>Forecast Error</t>
  </si>
  <si>
    <t>Bias</t>
  </si>
  <si>
    <t>APE</t>
  </si>
  <si>
    <t xml:space="preserve">MAPE </t>
  </si>
  <si>
    <t>TS</t>
  </si>
  <si>
    <t>Avg.</t>
  </si>
  <si>
    <t>Avg Bias</t>
  </si>
  <si>
    <t>Avg MAPE</t>
  </si>
  <si>
    <t>Total Bias</t>
  </si>
  <si>
    <t>Error</t>
  </si>
  <si>
    <t>Absolute error</t>
  </si>
  <si>
    <t>Error^2</t>
  </si>
  <si>
    <t>MAE</t>
  </si>
  <si>
    <t>BIAS</t>
  </si>
  <si>
    <t>RMSE</t>
  </si>
  <si>
    <t>Year</t>
  </si>
  <si>
    <t>D1 - Y1</t>
  </si>
  <si>
    <t>D1 - Y2</t>
  </si>
  <si>
    <t>D1 - Y3</t>
  </si>
  <si>
    <t>D2 - Y1</t>
  </si>
  <si>
    <t>D2 - Y2</t>
  </si>
  <si>
    <t>D2 - Y3</t>
  </si>
  <si>
    <t>Lower limit</t>
  </si>
  <si>
    <t>Upper limit</t>
  </si>
  <si>
    <t>T1</t>
  </si>
  <si>
    <t>T2</t>
  </si>
  <si>
    <t>Y1</t>
  </si>
  <si>
    <t>Squared Error</t>
  </si>
  <si>
    <t>b1</t>
  </si>
  <si>
    <t>Avg x</t>
  </si>
  <si>
    <t>Avg 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</si>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</sst>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_-* #,##0.0\ _€_-;\-* #,##0.0\ _€_-;_-* &quot;-&quot;??\ _€_-;_-@_-"/>
    <numFmt numFmtId="167" formatCode="0.0%"/>
    <numFmt numFmtId="168" formatCode="#,##0.0"/>
    <numFmt numFmtId="169" formatCode="0.000"/>
    <numFmt numFmtId="170" formatCode="#,##0.000"/>
    <numFmt numFmtId="171" formatCode="0.0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b/>
      <sz val="13"/>
      <color theme="0"/>
      <name val="Arial"/>
      <family val="2"/>
    </font>
    <font>
      <b/>
      <sz val="12"/>
      <name val="Arial"/>
      <family val="2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2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81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0" fontId="0" fillId="2" borderId="0" xfId="0" applyFill="1" applyAlignment="1">
      <alignment horizontal="right"/>
    </xf>
    <xf numFmtId="9" fontId="0" fillId="2" borderId="0" xfId="2" applyFont="1" applyFill="1"/>
    <xf numFmtId="164" fontId="0" fillId="0" borderId="0" xfId="1" applyFont="1"/>
    <xf numFmtId="0" fontId="0" fillId="0" borderId="0" xfId="0" applyAlignment="1">
      <alignment horizontal="center" vertical="center" wrapText="1"/>
    </xf>
    <xf numFmtId="167" fontId="0" fillId="0" borderId="0" xfId="2" applyNumberFormat="1" applyFont="1"/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10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168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17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169" fontId="6" fillId="0" borderId="0" xfId="0" applyNumberFormat="1" applyFont="1"/>
    <xf numFmtId="0" fontId="10" fillId="3" borderId="2" xfId="0" applyFont="1" applyFill="1" applyBorder="1" applyAlignment="1">
      <alignment wrapText="1"/>
    </xf>
    <xf numFmtId="0" fontId="12" fillId="3" borderId="1" xfId="0" applyFont="1" applyFill="1" applyBorder="1" applyAlignment="1">
      <alignment vertical="center"/>
    </xf>
    <xf numFmtId="4" fontId="6" fillId="0" borderId="1" xfId="0" applyNumberFormat="1" applyFont="1" applyBorder="1" applyAlignment="1">
      <alignment horizontal="center"/>
    </xf>
    <xf numFmtId="169" fontId="6" fillId="0" borderId="1" xfId="0" applyNumberFormat="1" applyFont="1" applyBorder="1"/>
    <xf numFmtId="0" fontId="6" fillId="4" borderId="1" xfId="0" applyFont="1" applyFill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170" fontId="6" fillId="3" borderId="1" xfId="0" applyNumberFormat="1" applyFont="1" applyFill="1" applyBorder="1" applyAlignment="1">
      <alignment horizontal="center"/>
    </xf>
    <xf numFmtId="3" fontId="6" fillId="5" borderId="1" xfId="0" applyNumberFormat="1" applyFont="1" applyFill="1" applyBorder="1" applyAlignment="1">
      <alignment horizontal="center" vertical="center"/>
    </xf>
    <xf numFmtId="170" fontId="6" fillId="5" borderId="1" xfId="0" applyNumberFormat="1" applyFont="1" applyFill="1" applyBorder="1" applyAlignment="1">
      <alignment horizontal="center" vertical="center"/>
    </xf>
    <xf numFmtId="4" fontId="6" fillId="7" borderId="1" xfId="0" applyNumberFormat="1" applyFont="1" applyFill="1" applyBorder="1" applyAlignment="1">
      <alignment horizontal="center" vertical="center"/>
    </xf>
    <xf numFmtId="170" fontId="6" fillId="7" borderId="1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70" fontId="6" fillId="0" borderId="1" xfId="0" applyNumberFormat="1" applyFont="1" applyBorder="1" applyAlignment="1">
      <alignment horizontal="center"/>
    </xf>
    <xf numFmtId="0" fontId="0" fillId="2" borderId="1" xfId="0" applyFill="1" applyBorder="1"/>
    <xf numFmtId="165" fontId="0" fillId="0" borderId="1" xfId="1" applyNumberFormat="1" applyFont="1" applyBorder="1"/>
    <xf numFmtId="0" fontId="0" fillId="2" borderId="1" xfId="0" applyFill="1" applyBorder="1" applyAlignment="1">
      <alignment horizontal="right"/>
    </xf>
    <xf numFmtId="9" fontId="0" fillId="2" borderId="1" xfId="2" applyFont="1" applyFill="1" applyBorder="1"/>
    <xf numFmtId="0" fontId="0" fillId="2" borderId="1" xfId="0" applyFill="1" applyBorder="1" applyAlignment="1">
      <alignment horizontal="center"/>
    </xf>
    <xf numFmtId="166" fontId="0" fillId="0" borderId="1" xfId="1" applyNumberFormat="1" applyFont="1" applyBorder="1"/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3" fontId="0" fillId="3" borderId="1" xfId="0" applyNumberFormat="1" applyFill="1" applyBorder="1"/>
    <xf numFmtId="4" fontId="0" fillId="3" borderId="1" xfId="0" applyNumberFormat="1" applyFill="1" applyBorder="1"/>
    <xf numFmtId="10" fontId="0" fillId="3" borderId="1" xfId="0" applyNumberFormat="1" applyFill="1" applyBorder="1"/>
    <xf numFmtId="166" fontId="0" fillId="2" borderId="1" xfId="1" applyNumberFormat="1" applyFont="1" applyFill="1" applyBorder="1"/>
    <xf numFmtId="0" fontId="0" fillId="0" borderId="0" xfId="0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0" xfId="1" applyNumberFormat="1" applyFont="1" applyBorder="1"/>
    <xf numFmtId="171" fontId="6" fillId="0" borderId="0" xfId="0" applyNumberFormat="1" applyFont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5" fillId="3" borderId="1" xfId="0" applyFont="1" applyFill="1" applyBorder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center" vertical="center"/>
    </xf>
    <xf numFmtId="3" fontId="9" fillId="8" borderId="1" xfId="0" applyNumberFormat="1" applyFont="1" applyFill="1" applyBorder="1" applyAlignment="1">
      <alignment horizontal="center" vertical="center"/>
    </xf>
    <xf numFmtId="3" fontId="16" fillId="0" borderId="0" xfId="0" applyNumberFormat="1" applyFont="1" applyAlignment="1">
      <alignment horizontal="center" vertical="center" wrapText="1"/>
    </xf>
    <xf numFmtId="1" fontId="16" fillId="0" borderId="0" xfId="0" applyNumberFormat="1" applyFont="1"/>
    <xf numFmtId="3" fontId="9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right"/>
    </xf>
    <xf numFmtId="3" fontId="16" fillId="2" borderId="1" xfId="0" applyNumberFormat="1" applyFont="1" applyFill="1" applyBorder="1" applyAlignment="1">
      <alignment horizontal="center" vertical="center" wrapText="1"/>
    </xf>
    <xf numFmtId="10" fontId="16" fillId="8" borderId="1" xfId="0" applyNumberFormat="1" applyFont="1" applyFill="1" applyBorder="1" applyAlignment="1">
      <alignment horizontal="center" vertical="center"/>
    </xf>
    <xf numFmtId="0" fontId="2" fillId="0" borderId="0" xfId="3"/>
    <xf numFmtId="0" fontId="2" fillId="0" borderId="0" xfId="3" applyAlignment="1">
      <alignment horizontal="center" vertical="center"/>
    </xf>
    <xf numFmtId="2" fontId="2" fillId="0" borderId="1" xfId="3" applyNumberFormat="1" applyBorder="1" applyAlignment="1">
      <alignment horizontal="center" vertical="center"/>
    </xf>
    <xf numFmtId="0" fontId="2" fillId="6" borderId="1" xfId="3" applyFill="1" applyBorder="1" applyAlignment="1">
      <alignment horizontal="center" vertical="center"/>
    </xf>
    <xf numFmtId="0" fontId="2" fillId="9" borderId="1" xfId="3" applyFill="1" applyBorder="1" applyAlignment="1">
      <alignment horizontal="center" vertical="center"/>
    </xf>
    <xf numFmtId="0" fontId="2" fillId="10" borderId="1" xfId="3" applyFill="1" applyBorder="1" applyAlignment="1">
      <alignment horizontal="center" vertical="center"/>
    </xf>
    <xf numFmtId="0" fontId="19" fillId="10" borderId="9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8" fillId="0" borderId="0" xfId="3" applyFont="1"/>
    <xf numFmtId="0" fontId="18" fillId="11" borderId="0" xfId="3" applyFont="1" applyFill="1" applyAlignment="1">
      <alignment horizontal="center" vertical="center"/>
    </xf>
    <xf numFmtId="171" fontId="2" fillId="0" borderId="0" xfId="3" applyNumberFormat="1" applyAlignment="1">
      <alignment horizontal="center" vertical="center"/>
    </xf>
    <xf numFmtId="0" fontId="2" fillId="11" borderId="0" xfId="3" applyFill="1" applyAlignment="1">
      <alignment horizontal="center" vertical="center"/>
    </xf>
    <xf numFmtId="0" fontId="2" fillId="0" borderId="1" xfId="3" applyBorder="1" applyAlignment="1">
      <alignment horizontal="center" vertical="center"/>
    </xf>
    <xf numFmtId="0" fontId="18" fillId="11" borderId="1" xfId="3" applyFont="1" applyFill="1" applyBorder="1" applyAlignment="1">
      <alignment horizontal="center" vertical="center"/>
    </xf>
    <xf numFmtId="0" fontId="2" fillId="10" borderId="1" xfId="3" applyFill="1" applyBorder="1"/>
    <xf numFmtId="0" fontId="2" fillId="10" borderId="0" xfId="3" applyFill="1" applyAlignment="1">
      <alignment horizontal="center" vertical="center"/>
    </xf>
    <xf numFmtId="165" fontId="0" fillId="3" borderId="1" xfId="1" applyNumberFormat="1" applyFont="1" applyFill="1" applyBorder="1"/>
    <xf numFmtId="165" fontId="0" fillId="6" borderId="1" xfId="1" applyNumberFormat="1" applyFont="1" applyFill="1" applyBorder="1"/>
    <xf numFmtId="165" fontId="0" fillId="11" borderId="1" xfId="1" applyNumberFormat="1" applyFont="1" applyFill="1" applyBorder="1"/>
    <xf numFmtId="165" fontId="0" fillId="12" borderId="1" xfId="1" applyNumberFormat="1" applyFont="1" applyFill="1" applyBorder="1"/>
    <xf numFmtId="165" fontId="20" fillId="0" borderId="10" xfId="0" applyNumberFormat="1" applyFont="1" applyBorder="1"/>
    <xf numFmtId="0" fontId="0" fillId="2" borderId="9" xfId="0" applyFill="1" applyBorder="1"/>
    <xf numFmtId="166" fontId="20" fillId="12" borderId="10" xfId="0" applyNumberFormat="1" applyFont="1" applyFill="1" applyBorder="1"/>
    <xf numFmtId="166" fontId="20" fillId="13" borderId="10" xfId="0" applyNumberFormat="1" applyFont="1" applyFill="1" applyBorder="1"/>
    <xf numFmtId="165" fontId="0" fillId="5" borderId="1" xfId="1" applyNumberFormat="1" applyFont="1" applyFill="1" applyBorder="1"/>
    <xf numFmtId="166" fontId="0" fillId="5" borderId="1" xfId="1" applyNumberFormat="1" applyFont="1" applyFill="1" applyBorder="1"/>
    <xf numFmtId="166" fontId="0" fillId="7" borderId="1" xfId="1" applyNumberFormat="1" applyFont="1" applyFill="1" applyBorder="1"/>
    <xf numFmtId="164" fontId="0" fillId="7" borderId="1" xfId="1" applyFont="1" applyFill="1" applyBorder="1"/>
    <xf numFmtId="165" fontId="0" fillId="14" borderId="1" xfId="1" applyNumberFormat="1" applyFont="1" applyFill="1" applyBorder="1"/>
    <xf numFmtId="2" fontId="0" fillId="2" borderId="1" xfId="5" applyNumberFormat="1" applyFont="1" applyFill="1" applyBorder="1"/>
    <xf numFmtId="165" fontId="0" fillId="0" borderId="10" xfId="1" applyNumberFormat="1" applyFont="1" applyBorder="1"/>
    <xf numFmtId="165" fontId="0" fillId="0" borderId="11" xfId="1" applyNumberFormat="1" applyFont="1" applyBorder="1"/>
    <xf numFmtId="0" fontId="0" fillId="0" borderId="12" xfId="0" applyBorder="1"/>
    <xf numFmtId="165" fontId="0" fillId="5" borderId="12" xfId="1" applyNumberFormat="1" applyFont="1" applyFill="1" applyBorder="1"/>
    <xf numFmtId="166" fontId="0" fillId="5" borderId="12" xfId="1" applyNumberFormat="1" applyFont="1" applyFill="1" applyBorder="1"/>
    <xf numFmtId="164" fontId="0" fillId="5" borderId="13" xfId="1" applyFont="1" applyFill="1" applyBorder="1"/>
    <xf numFmtId="165" fontId="0" fillId="0" borderId="14" xfId="1" applyNumberFormat="1" applyFont="1" applyBorder="1"/>
    <xf numFmtId="164" fontId="0" fillId="5" borderId="15" xfId="1" applyFont="1" applyFill="1" applyBorder="1"/>
    <xf numFmtId="165" fontId="0" fillId="0" borderId="16" xfId="1" applyNumberFormat="1" applyFont="1" applyBorder="1"/>
    <xf numFmtId="0" fontId="0" fillId="0" borderId="17" xfId="0" applyBorder="1"/>
    <xf numFmtId="166" fontId="0" fillId="5" borderId="17" xfId="1" applyNumberFormat="1" applyFont="1" applyFill="1" applyBorder="1"/>
    <xf numFmtId="164" fontId="0" fillId="5" borderId="18" xfId="1" applyFont="1" applyFill="1" applyBorder="1"/>
    <xf numFmtId="0" fontId="0" fillId="2" borderId="2" xfId="0" applyFill="1" applyBorder="1" applyAlignment="1">
      <alignment horizontal="center"/>
    </xf>
    <xf numFmtId="165" fontId="0" fillId="0" borderId="12" xfId="1" applyNumberFormat="1" applyFont="1" applyBorder="1"/>
    <xf numFmtId="166" fontId="0" fillId="12" borderId="12" xfId="1" applyNumberFormat="1" applyFont="1" applyFill="1" applyBorder="1"/>
    <xf numFmtId="164" fontId="0" fillId="12" borderId="13" xfId="1" applyFont="1" applyFill="1" applyBorder="1"/>
    <xf numFmtId="164" fontId="0" fillId="12" borderId="15" xfId="1" applyFont="1" applyFill="1" applyBorder="1"/>
    <xf numFmtId="164" fontId="0" fillId="12" borderId="18" xfId="1" applyFont="1" applyFill="1" applyBorder="1"/>
    <xf numFmtId="166" fontId="0" fillId="7" borderId="10" xfId="1" applyNumberFormat="1" applyFont="1" applyFill="1" applyBorder="1"/>
    <xf numFmtId="164" fontId="0" fillId="7" borderId="10" xfId="1" applyFont="1" applyFill="1" applyBorder="1"/>
    <xf numFmtId="2" fontId="0" fillId="2" borderId="1" xfId="2" applyNumberFormat="1" applyFont="1" applyFill="1" applyBorder="1"/>
    <xf numFmtId="0" fontId="4" fillId="0" borderId="0" xfId="0" applyFont="1"/>
    <xf numFmtId="169" fontId="4" fillId="0" borderId="0" xfId="0" applyNumberFormat="1" applyFont="1"/>
    <xf numFmtId="165" fontId="0" fillId="15" borderId="1" xfId="1" applyNumberFormat="1" applyFont="1" applyFill="1" applyBorder="1" applyAlignment="1">
      <alignment horizontal="center" vertical="center"/>
    </xf>
    <xf numFmtId="165" fontId="0" fillId="11" borderId="1" xfId="1" applyNumberFormat="1" applyFont="1" applyFill="1" applyBorder="1" applyAlignment="1">
      <alignment horizontal="center" vertical="center"/>
    </xf>
    <xf numFmtId="0" fontId="0" fillId="10" borderId="1" xfId="0" applyFill="1" applyBorder="1"/>
    <xf numFmtId="166" fontId="0" fillId="11" borderId="1" xfId="1" applyNumberFormat="1" applyFont="1" applyFill="1" applyBorder="1"/>
    <xf numFmtId="165" fontId="0" fillId="15" borderId="1" xfId="1" applyNumberFormat="1" applyFont="1" applyFill="1" applyBorder="1"/>
    <xf numFmtId="169" fontId="0" fillId="6" borderId="1" xfId="4" applyNumberFormat="1" applyFont="1" applyFill="1" applyBorder="1" applyAlignment="1">
      <alignment horizontal="center" vertical="center"/>
    </xf>
    <xf numFmtId="1" fontId="0" fillId="0" borderId="0" xfId="0" applyNumberFormat="1"/>
    <xf numFmtId="166" fontId="0" fillId="4" borderId="1" xfId="1" applyNumberFormat="1" applyFont="1" applyFill="1" applyBorder="1"/>
    <xf numFmtId="166" fontId="0" fillId="4" borderId="17" xfId="1" applyNumberFormat="1" applyFont="1" applyFill="1" applyBorder="1"/>
    <xf numFmtId="165" fontId="0" fillId="0" borderId="1" xfId="1" applyNumberFormat="1" applyFont="1" applyFill="1" applyBorder="1"/>
    <xf numFmtId="165" fontId="0" fillId="0" borderId="17" xfId="1" applyNumberFormat="1" applyFont="1" applyFill="1" applyBorder="1"/>
    <xf numFmtId="0" fontId="0" fillId="0" borderId="19" xfId="0" applyBorder="1"/>
    <xf numFmtId="0" fontId="14" fillId="0" borderId="20" xfId="0" applyFont="1" applyBorder="1" applyAlignment="1">
      <alignment horizontal="center"/>
    </xf>
    <xf numFmtId="0" fontId="14" fillId="0" borderId="20" xfId="0" applyFont="1" applyBorder="1" applyAlignment="1">
      <alignment horizontal="centerContinuous"/>
    </xf>
    <xf numFmtId="2" fontId="0" fillId="11" borderId="0" xfId="0" applyNumberFormat="1" applyFill="1"/>
    <xf numFmtId="2" fontId="0" fillId="11" borderId="19" xfId="0" applyNumberFormat="1" applyFill="1" applyBorder="1"/>
    <xf numFmtId="0" fontId="0" fillId="11" borderId="1" xfId="0" applyFill="1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8" borderId="1" xfId="0" applyNumberFormat="1" applyFont="1" applyFill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 wrapText="1"/>
    </xf>
    <xf numFmtId="10" fontId="1" fillId="8" borderId="1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 wrapText="1"/>
    </xf>
    <xf numFmtId="168" fontId="0" fillId="0" borderId="0" xfId="0" applyNumberFormat="1"/>
    <xf numFmtId="0" fontId="0" fillId="3" borderId="1" xfId="0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2" fillId="0" borderId="0" xfId="0" applyFont="1"/>
    <xf numFmtId="0" fontId="23" fillId="0" borderId="0" xfId="0" applyFont="1" applyAlignment="1">
      <alignment horizontal="center" vertical="center"/>
    </xf>
    <xf numFmtId="0" fontId="23" fillId="0" borderId="0" xfId="0" applyFont="1"/>
  </cellXfs>
  <cellStyles count="6">
    <cellStyle name="Milliers" xfId="1" builtinId="3"/>
    <cellStyle name="Monétaire" xfId="5" builtinId="4"/>
    <cellStyle name="Normal" xfId="0" builtinId="0"/>
    <cellStyle name="Normal 2" xfId="3" xr:uid="{3858FDAA-B3E1-5C4F-85A9-0CA787CDDBCF}"/>
    <cellStyle name="Per cent 2" xfId="4" xr:uid="{F01528EF-3DA0-DF43-B078-CFA947FA6E1C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Naïve!$B$1</c:f>
              <c:strCache>
                <c:ptCount val="1"/>
                <c:pt idx="0">
                  <c:v>Demand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Naïve!$A$2:$A$14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Naïve!$B$2:$B$11</c:f>
              <c:numCache>
                <c:formatCode>_-* #,##0\ _€_-;\-* #,##0\ _€_-;_-* "-"??\ _€_-;_-@_-</c:formatCode>
                <c:ptCount val="10"/>
                <c:pt idx="0">
                  <c:v>37</c:v>
                </c:pt>
                <c:pt idx="1">
                  <c:v>60</c:v>
                </c:pt>
                <c:pt idx="2">
                  <c:v>85</c:v>
                </c:pt>
                <c:pt idx="3">
                  <c:v>112</c:v>
                </c:pt>
                <c:pt idx="4">
                  <c:v>132</c:v>
                </c:pt>
                <c:pt idx="5">
                  <c:v>145</c:v>
                </c:pt>
                <c:pt idx="6">
                  <c:v>179</c:v>
                </c:pt>
                <c:pt idx="7">
                  <c:v>198</c:v>
                </c:pt>
                <c:pt idx="8">
                  <c:v>212</c:v>
                </c:pt>
                <c:pt idx="9">
                  <c:v>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8B-40C3-B1E1-8623629FA9ED}"/>
            </c:ext>
          </c:extLst>
        </c:ser>
        <c:ser>
          <c:idx val="2"/>
          <c:order val="1"/>
          <c:tx>
            <c:strRef>
              <c:f>Naïve!$C$1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Naïve!$A$2:$A$14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Naïve!$C$2:$C$14</c:f>
              <c:numCache>
                <c:formatCode>_-* #,##0\ _€_-;\-* #,##0\ _€_-;_-* "-"??\ _€_-;_-@_-</c:formatCode>
                <c:ptCount val="13"/>
                <c:pt idx="1">
                  <c:v>37</c:v>
                </c:pt>
                <c:pt idx="2">
                  <c:v>60</c:v>
                </c:pt>
                <c:pt idx="3">
                  <c:v>85</c:v>
                </c:pt>
                <c:pt idx="4">
                  <c:v>112</c:v>
                </c:pt>
                <c:pt idx="5">
                  <c:v>132</c:v>
                </c:pt>
                <c:pt idx="6">
                  <c:v>145</c:v>
                </c:pt>
                <c:pt idx="7">
                  <c:v>179</c:v>
                </c:pt>
                <c:pt idx="8">
                  <c:v>198</c:v>
                </c:pt>
                <c:pt idx="9">
                  <c:v>212</c:v>
                </c:pt>
                <c:pt idx="10">
                  <c:v>232</c:v>
                </c:pt>
                <c:pt idx="11">
                  <c:v>232</c:v>
                </c:pt>
                <c:pt idx="12">
                  <c:v>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8B-40C3-B1E1-8623629FA9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6816992"/>
        <c:axId val="97624176"/>
      </c:lineChart>
      <c:catAx>
        <c:axId val="1968169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4176"/>
        <c:crosses val="autoZero"/>
        <c:auto val="1"/>
        <c:lblAlgn val="ctr"/>
        <c:lblOffset val="100"/>
        <c:noMultiLvlLbl val="0"/>
      </c:catAx>
      <c:valAx>
        <c:axId val="97624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'Moving Average'!$B$1</c:f>
              <c:strCache>
                <c:ptCount val="1"/>
                <c:pt idx="0">
                  <c:v>Demand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'Moving Average'!$B$2:$B$14</c:f>
              <c:numCache>
                <c:formatCode>_-* #,##0\ _€_-;\-* #,##0\ _€_-;_-* "-"??\ _€_-;_-@_-</c:formatCode>
                <c:ptCount val="13"/>
                <c:pt idx="0">
                  <c:v>37</c:v>
                </c:pt>
                <c:pt idx="1">
                  <c:v>60</c:v>
                </c:pt>
                <c:pt idx="2">
                  <c:v>85</c:v>
                </c:pt>
                <c:pt idx="3">
                  <c:v>112</c:v>
                </c:pt>
                <c:pt idx="4">
                  <c:v>132</c:v>
                </c:pt>
                <c:pt idx="5">
                  <c:v>145</c:v>
                </c:pt>
                <c:pt idx="6">
                  <c:v>179</c:v>
                </c:pt>
                <c:pt idx="7">
                  <c:v>198</c:v>
                </c:pt>
                <c:pt idx="8">
                  <c:v>212</c:v>
                </c:pt>
                <c:pt idx="9">
                  <c:v>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69-47A6-930D-B0C4556B478C}"/>
            </c:ext>
          </c:extLst>
        </c:ser>
        <c:ser>
          <c:idx val="2"/>
          <c:order val="1"/>
          <c:tx>
            <c:strRef>
              <c:f>'Moving Average'!$C$1</c:f>
              <c:strCache>
                <c:ptCount val="1"/>
                <c:pt idx="0">
                  <c:v>Forecast (n=3)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'Moving Average'!$C$2:$C$14</c:f>
              <c:numCache>
                <c:formatCode>_-* #,##0\ _€_-;\-* #,##0\ _€_-;_-* "-"??\ _€_-;_-@_-</c:formatCode>
                <c:ptCount val="13"/>
                <c:pt idx="3">
                  <c:v>60.666666666666664</c:v>
                </c:pt>
                <c:pt idx="4">
                  <c:v>85.666666666666671</c:v>
                </c:pt>
                <c:pt idx="5">
                  <c:v>109.66666666666667</c:v>
                </c:pt>
                <c:pt idx="6">
                  <c:v>129.66666666666666</c:v>
                </c:pt>
                <c:pt idx="7">
                  <c:v>152</c:v>
                </c:pt>
                <c:pt idx="8">
                  <c:v>174</c:v>
                </c:pt>
                <c:pt idx="9">
                  <c:v>196.33333333333334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69-47A6-930D-B0C4556B478C}"/>
            </c:ext>
          </c:extLst>
        </c:ser>
        <c:ser>
          <c:idx val="0"/>
          <c:order val="2"/>
          <c:tx>
            <c:strRef>
              <c:f>'Moving Average'!$D$1</c:f>
              <c:strCache>
                <c:ptCount val="1"/>
                <c:pt idx="0">
                  <c:v>Forecast (n=2)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'Moving Average'!$D$2:$D$14</c:f>
              <c:numCache>
                <c:formatCode>_-* #,##0\ _€_-;\-* #,##0\ _€_-;_-* "-"??\ _€_-;_-@_-</c:formatCode>
                <c:ptCount val="13"/>
                <c:pt idx="2">
                  <c:v>48.5</c:v>
                </c:pt>
                <c:pt idx="3">
                  <c:v>72.5</c:v>
                </c:pt>
                <c:pt idx="4">
                  <c:v>98.5</c:v>
                </c:pt>
                <c:pt idx="5">
                  <c:v>122</c:v>
                </c:pt>
                <c:pt idx="6">
                  <c:v>138.5</c:v>
                </c:pt>
                <c:pt idx="7">
                  <c:v>162</c:v>
                </c:pt>
                <c:pt idx="8">
                  <c:v>188.5</c:v>
                </c:pt>
                <c:pt idx="9">
                  <c:v>205</c:v>
                </c:pt>
                <c:pt idx="10">
                  <c:v>222</c:v>
                </c:pt>
                <c:pt idx="11">
                  <c:v>222</c:v>
                </c:pt>
                <c:pt idx="12">
                  <c:v>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E4-2F43-9AF3-740037419AD1}"/>
            </c:ext>
          </c:extLst>
        </c:ser>
        <c:ser>
          <c:idx val="3"/>
          <c:order val="3"/>
          <c:tx>
            <c:strRef>
              <c:f>'Moving Average'!$E$1</c:f>
              <c:strCache>
                <c:ptCount val="1"/>
                <c:pt idx="0">
                  <c:v>Forecast (n=5)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'Moving Average'!$E$2:$E$14</c:f>
              <c:numCache>
                <c:formatCode>_-* #,##0\ _€_-;\-* #,##0\ _€_-;_-* "-"??\ _€_-;_-@_-</c:formatCode>
                <c:ptCount val="13"/>
                <c:pt idx="5">
                  <c:v>85.2</c:v>
                </c:pt>
                <c:pt idx="6">
                  <c:v>106.8</c:v>
                </c:pt>
                <c:pt idx="7">
                  <c:v>130.6</c:v>
                </c:pt>
                <c:pt idx="8">
                  <c:v>153.19999999999999</c:v>
                </c:pt>
                <c:pt idx="9">
                  <c:v>173.2</c:v>
                </c:pt>
                <c:pt idx="10">
                  <c:v>193.2</c:v>
                </c:pt>
                <c:pt idx="11">
                  <c:v>193.2</c:v>
                </c:pt>
                <c:pt idx="12">
                  <c:v>193.2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E4-2F43-9AF3-740037419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186816"/>
        <c:axId val="97635408"/>
      </c:lineChart>
      <c:catAx>
        <c:axId val="195186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5408"/>
        <c:crosses val="autoZero"/>
        <c:auto val="1"/>
        <c:lblAlgn val="ctr"/>
        <c:lblOffset val="100"/>
        <c:noMultiLvlLbl val="0"/>
      </c:catAx>
      <c:valAx>
        <c:axId val="97635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8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'Moving Average (2)'!$B$1</c:f>
              <c:strCache>
                <c:ptCount val="1"/>
                <c:pt idx="0">
                  <c:v>Demand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'Moving Average (2)'!$B$2:$B$14</c:f>
              <c:numCache>
                <c:formatCode>_-* #,##0\ _€_-;\-* #,##0\ _€_-;_-* "-"??\ _€_-;_-@_-</c:formatCode>
                <c:ptCount val="13"/>
                <c:pt idx="0">
                  <c:v>133</c:v>
                </c:pt>
                <c:pt idx="1">
                  <c:v>135</c:v>
                </c:pt>
                <c:pt idx="2">
                  <c:v>125</c:v>
                </c:pt>
                <c:pt idx="3">
                  <c:v>128</c:v>
                </c:pt>
                <c:pt idx="4">
                  <c:v>132</c:v>
                </c:pt>
                <c:pt idx="5">
                  <c:v>127</c:v>
                </c:pt>
                <c:pt idx="6">
                  <c:v>125</c:v>
                </c:pt>
                <c:pt idx="7">
                  <c:v>128</c:v>
                </c:pt>
                <c:pt idx="8">
                  <c:v>134</c:v>
                </c:pt>
                <c:pt idx="9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E-514B-9F5A-CEE13B876B75}"/>
            </c:ext>
          </c:extLst>
        </c:ser>
        <c:ser>
          <c:idx val="2"/>
          <c:order val="1"/>
          <c:tx>
            <c:strRef>
              <c:f>'Moving Average (2)'!$C$1</c:f>
              <c:strCache>
                <c:ptCount val="1"/>
                <c:pt idx="0">
                  <c:v>Forecast (n=3)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'Moving Average (2)'!$C$2:$C$14</c:f>
              <c:numCache>
                <c:formatCode>_-* #,##0\ _€_-;\-* #,##0\ _€_-;_-* "-"??\ _€_-;_-@_-</c:formatCode>
                <c:ptCount val="13"/>
                <c:pt idx="3">
                  <c:v>131</c:v>
                </c:pt>
                <c:pt idx="4">
                  <c:v>129.33333333333334</c:v>
                </c:pt>
                <c:pt idx="5">
                  <c:v>128.33333333333334</c:v>
                </c:pt>
                <c:pt idx="6">
                  <c:v>129</c:v>
                </c:pt>
                <c:pt idx="7">
                  <c:v>128</c:v>
                </c:pt>
                <c:pt idx="8">
                  <c:v>126.66666666666667</c:v>
                </c:pt>
                <c:pt idx="9">
                  <c:v>129</c:v>
                </c:pt>
                <c:pt idx="10">
                  <c:v>129.33333333333334</c:v>
                </c:pt>
                <c:pt idx="11">
                  <c:v>129.33333333333334</c:v>
                </c:pt>
                <c:pt idx="12">
                  <c:v>129.33333333333334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4E-514B-9F5A-CEE13B876B75}"/>
            </c:ext>
          </c:extLst>
        </c:ser>
        <c:ser>
          <c:idx val="0"/>
          <c:order val="2"/>
          <c:tx>
            <c:strRef>
              <c:f>'Moving Average (2)'!$D$1</c:f>
              <c:strCache>
                <c:ptCount val="1"/>
                <c:pt idx="0">
                  <c:v>Forecast (n=2)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'Moving Average (2)'!$D$2:$D$14</c:f>
              <c:numCache>
                <c:formatCode>_-* #,##0\ _€_-;\-* #,##0\ _€_-;_-* "-"??\ _€_-;_-@_-</c:formatCode>
                <c:ptCount val="13"/>
                <c:pt idx="2">
                  <c:v>134</c:v>
                </c:pt>
                <c:pt idx="3">
                  <c:v>130</c:v>
                </c:pt>
                <c:pt idx="4">
                  <c:v>126.5</c:v>
                </c:pt>
                <c:pt idx="5">
                  <c:v>130</c:v>
                </c:pt>
                <c:pt idx="6">
                  <c:v>129.5</c:v>
                </c:pt>
                <c:pt idx="7">
                  <c:v>126</c:v>
                </c:pt>
                <c:pt idx="8">
                  <c:v>126.5</c:v>
                </c:pt>
                <c:pt idx="9">
                  <c:v>131</c:v>
                </c:pt>
                <c:pt idx="10">
                  <c:v>130</c:v>
                </c:pt>
                <c:pt idx="11">
                  <c:v>130</c:v>
                </c:pt>
                <c:pt idx="1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4E-514B-9F5A-CEE13B876B75}"/>
            </c:ext>
          </c:extLst>
        </c:ser>
        <c:ser>
          <c:idx val="3"/>
          <c:order val="3"/>
          <c:tx>
            <c:strRef>
              <c:f>'Moving Average (2)'!$E$1</c:f>
              <c:strCache>
                <c:ptCount val="1"/>
                <c:pt idx="0">
                  <c:v>Forecast (n=5)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'Moving Average (2)'!$E$2:$E$14</c:f>
              <c:numCache>
                <c:formatCode>_-* #,##0\ _€_-;\-* #,##0\ _€_-;_-* "-"??\ _€_-;_-@_-</c:formatCode>
                <c:ptCount val="13"/>
                <c:pt idx="5">
                  <c:v>130.6</c:v>
                </c:pt>
                <c:pt idx="6">
                  <c:v>129.4</c:v>
                </c:pt>
                <c:pt idx="7">
                  <c:v>127.4</c:v>
                </c:pt>
                <c:pt idx="8">
                  <c:v>128</c:v>
                </c:pt>
                <c:pt idx="9">
                  <c:v>129.19999999999999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4E-514B-9F5A-CEE13B876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186816"/>
        <c:axId val="97635408"/>
      </c:lineChart>
      <c:catAx>
        <c:axId val="195186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5408"/>
        <c:crosses val="autoZero"/>
        <c:auto val="1"/>
        <c:lblAlgn val="ctr"/>
        <c:lblOffset val="100"/>
        <c:noMultiLvlLbl val="0"/>
      </c:catAx>
      <c:valAx>
        <c:axId val="97635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8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Simple!$B$1</c:f>
              <c:strCache>
                <c:ptCount val="1"/>
                <c:pt idx="0">
                  <c:v>Demand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Simple!$B$2:$B$11</c:f>
              <c:numCache>
                <c:formatCode>_-* #,##0\ _€_-;\-* #,##0\ _€_-;_-* "-"??\ _€_-;_-@_-</c:formatCode>
                <c:ptCount val="10"/>
                <c:pt idx="0">
                  <c:v>37</c:v>
                </c:pt>
                <c:pt idx="1">
                  <c:v>60</c:v>
                </c:pt>
                <c:pt idx="2">
                  <c:v>85</c:v>
                </c:pt>
                <c:pt idx="3">
                  <c:v>112</c:v>
                </c:pt>
                <c:pt idx="4">
                  <c:v>132</c:v>
                </c:pt>
                <c:pt idx="5">
                  <c:v>145</c:v>
                </c:pt>
                <c:pt idx="6">
                  <c:v>179</c:v>
                </c:pt>
                <c:pt idx="7">
                  <c:v>198</c:v>
                </c:pt>
                <c:pt idx="8">
                  <c:v>212</c:v>
                </c:pt>
                <c:pt idx="9">
                  <c:v>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FD-460A-9B62-50E9D76C0967}"/>
            </c:ext>
          </c:extLst>
        </c:ser>
        <c:ser>
          <c:idx val="2"/>
          <c:order val="1"/>
          <c:tx>
            <c:strRef>
              <c:f>Simple!$C$1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Simple!$C$2:$C$14</c:f>
              <c:numCache>
                <c:formatCode>_-* #,##0\ _€_-;\-* #,##0\ _€_-;_-* "-"??\ _€_-;_-@_-</c:formatCode>
                <c:ptCount val="13"/>
                <c:pt idx="0">
                  <c:v>37</c:v>
                </c:pt>
                <c:pt idx="1">
                  <c:v>37</c:v>
                </c:pt>
                <c:pt idx="2">
                  <c:v>41.6</c:v>
                </c:pt>
                <c:pt idx="3">
                  <c:v>50.28</c:v>
                </c:pt>
                <c:pt idx="4">
                  <c:v>62.624000000000009</c:v>
                </c:pt>
                <c:pt idx="5">
                  <c:v>76.499200000000016</c:v>
                </c:pt>
                <c:pt idx="6">
                  <c:v>90.199360000000013</c:v>
                </c:pt>
                <c:pt idx="7">
                  <c:v>107.95948800000002</c:v>
                </c:pt>
                <c:pt idx="8">
                  <c:v>125.96759040000003</c:v>
                </c:pt>
                <c:pt idx="9">
                  <c:v>143.17407232000005</c:v>
                </c:pt>
                <c:pt idx="10">
                  <c:v>160.93925785600004</c:v>
                </c:pt>
                <c:pt idx="11">
                  <c:v>160.93925785600004</c:v>
                </c:pt>
                <c:pt idx="12">
                  <c:v>160.93925785600004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FD-460A-9B62-50E9D76C0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991664"/>
        <c:axId val="202547600"/>
      </c:lineChart>
      <c:catAx>
        <c:axId val="2069916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47600"/>
        <c:crosses val="autoZero"/>
        <c:auto val="1"/>
        <c:lblAlgn val="ctr"/>
        <c:lblOffset val="100"/>
        <c:noMultiLvlLbl val="0"/>
      </c:catAx>
      <c:valAx>
        <c:axId val="2025476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9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Double!$B$1</c:f>
              <c:strCache>
                <c:ptCount val="1"/>
                <c:pt idx="0">
                  <c:v>Demand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Double!$B$2:$B$11</c:f>
              <c:numCache>
                <c:formatCode>_-* #,##0\ _€_-;\-* #,##0\ _€_-;_-* "-"??\ _€_-;_-@_-</c:formatCode>
                <c:ptCount val="10"/>
                <c:pt idx="0">
                  <c:v>37</c:v>
                </c:pt>
                <c:pt idx="1">
                  <c:v>60</c:v>
                </c:pt>
                <c:pt idx="2">
                  <c:v>85</c:v>
                </c:pt>
                <c:pt idx="3">
                  <c:v>112</c:v>
                </c:pt>
                <c:pt idx="4">
                  <c:v>132</c:v>
                </c:pt>
                <c:pt idx="5">
                  <c:v>145</c:v>
                </c:pt>
                <c:pt idx="6">
                  <c:v>179</c:v>
                </c:pt>
                <c:pt idx="7">
                  <c:v>198</c:v>
                </c:pt>
                <c:pt idx="8">
                  <c:v>212</c:v>
                </c:pt>
                <c:pt idx="9">
                  <c:v>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F-48BC-93DE-DCA8580A3880}"/>
            </c:ext>
          </c:extLst>
        </c:ser>
        <c:ser>
          <c:idx val="2"/>
          <c:order val="1"/>
          <c:tx>
            <c:strRef>
              <c:f>Double!$C$1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Double!$C$2:$C$14</c:f>
              <c:numCache>
                <c:formatCode>_-* #,##0\ _€_-;\-* #,##0\ _€_-;_-* "-"??\ _€_-;_-@_-</c:formatCode>
                <c:ptCount val="13"/>
                <c:pt idx="1">
                  <c:v>60</c:v>
                </c:pt>
                <c:pt idx="2">
                  <c:v>83</c:v>
                </c:pt>
                <c:pt idx="3">
                  <c:v>106.83999999999999</c:v>
                </c:pt>
                <c:pt idx="4">
                  <c:v>132.24719999999996</c:v>
                </c:pt>
                <c:pt idx="5">
                  <c:v>156.00257599999995</c:v>
                </c:pt>
                <c:pt idx="6">
                  <c:v>175.21103007999997</c:v>
                </c:pt>
                <c:pt idx="7">
                  <c:v>199.31162432639994</c:v>
                </c:pt>
                <c:pt idx="8">
                  <c:v>221.72464537971194</c:v>
                </c:pt>
                <c:pt idx="9">
                  <c:v>240.44680267146492</c:v>
                </c:pt>
                <c:pt idx="10">
                  <c:v>258.53869645511622</c:v>
                </c:pt>
                <c:pt idx="11">
                  <c:v>279.16463104020698</c:v>
                </c:pt>
                <c:pt idx="12">
                  <c:v>299.79056562529775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DF-48BC-93DE-DCA8580A3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963664"/>
        <c:axId val="97655376"/>
      </c:lineChart>
      <c:catAx>
        <c:axId val="2069636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55376"/>
        <c:crosses val="autoZero"/>
        <c:auto val="1"/>
        <c:lblAlgn val="ctr"/>
        <c:lblOffset val="100"/>
        <c:noMultiLvlLbl val="0"/>
      </c:catAx>
      <c:valAx>
        <c:axId val="976553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6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Damped!$B$1</c:f>
              <c:strCache>
                <c:ptCount val="1"/>
                <c:pt idx="0">
                  <c:v>Demand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Damped!$B$2:$B$11</c:f>
              <c:numCache>
                <c:formatCode>_-* #,##0\ _€_-;\-* #,##0\ _€_-;_-* "-"??\ _€_-;_-@_-</c:formatCode>
                <c:ptCount val="10"/>
                <c:pt idx="0">
                  <c:v>37</c:v>
                </c:pt>
                <c:pt idx="1">
                  <c:v>70</c:v>
                </c:pt>
                <c:pt idx="2">
                  <c:v>100</c:v>
                </c:pt>
                <c:pt idx="3">
                  <c:v>125</c:v>
                </c:pt>
                <c:pt idx="4">
                  <c:v>137</c:v>
                </c:pt>
                <c:pt idx="5">
                  <c:v>150</c:v>
                </c:pt>
                <c:pt idx="6">
                  <c:v>160</c:v>
                </c:pt>
                <c:pt idx="7">
                  <c:v>168</c:v>
                </c:pt>
                <c:pt idx="8">
                  <c:v>173</c:v>
                </c:pt>
                <c:pt idx="9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02-48EB-B07B-5718DC498DFB}"/>
            </c:ext>
          </c:extLst>
        </c:ser>
        <c:ser>
          <c:idx val="2"/>
          <c:order val="1"/>
          <c:tx>
            <c:strRef>
              <c:f>Damped!$C$1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Damped!$C$2:$C$12</c:f>
              <c:numCache>
                <c:formatCode>_-* #,##0\ _€_-;\-* #,##0\ _€_-;_-* "-"??\ _€_-;_-@_-</c:formatCode>
                <c:ptCount val="11"/>
                <c:pt idx="1">
                  <c:v>63.400000000000006</c:v>
                </c:pt>
                <c:pt idx="2">
                  <c:v>87.133600000000001</c:v>
                </c:pt>
                <c:pt idx="3">
                  <c:v>109.63157439999999</c:v>
                </c:pt>
                <c:pt idx="4">
                  <c:v>130.62791445759999</c:v>
                </c:pt>
                <c:pt idx="5">
                  <c:v>146.2599102344704</c:v>
                </c:pt>
                <c:pt idx="6">
                  <c:v>158.71728187294045</c:v>
                </c:pt>
                <c:pt idx="7">
                  <c:v>168.29351401830493</c:v>
                </c:pt>
                <c:pt idx="8">
                  <c:v>175.53041583285349</c:v>
                </c:pt>
                <c:pt idx="9">
                  <c:v>180.38833597907552</c:v>
                </c:pt>
                <c:pt idx="10">
                  <c:v>183.93619084822407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02-48EB-B07B-5718DC498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695008"/>
        <c:axId val="308938336"/>
      </c:lineChart>
      <c:catAx>
        <c:axId val="4206950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938336"/>
        <c:crosses val="autoZero"/>
        <c:auto val="1"/>
        <c:lblAlgn val="ctr"/>
        <c:lblOffset val="100"/>
        <c:noMultiLvlLbl val="0"/>
      </c:catAx>
      <c:valAx>
        <c:axId val="308938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9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Multiplicative!$D$1</c:f>
              <c:strCache>
                <c:ptCount val="1"/>
                <c:pt idx="0">
                  <c:v>Demand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Multiplicative!$D$2:$D$21</c:f>
              <c:numCache>
                <c:formatCode>General</c:formatCode>
                <c:ptCount val="20"/>
                <c:pt idx="0">
                  <c:v>14</c:v>
                </c:pt>
                <c:pt idx="1">
                  <c:v>10</c:v>
                </c:pt>
                <c:pt idx="2">
                  <c:v>6</c:v>
                </c:pt>
                <c:pt idx="3">
                  <c:v>2</c:v>
                </c:pt>
                <c:pt idx="4">
                  <c:v>18</c:v>
                </c:pt>
                <c:pt idx="5">
                  <c:v>8</c:v>
                </c:pt>
                <c:pt idx="6">
                  <c:v>4</c:v>
                </c:pt>
                <c:pt idx="7">
                  <c:v>1</c:v>
                </c:pt>
                <c:pt idx="8">
                  <c:v>16</c:v>
                </c:pt>
                <c:pt idx="9">
                  <c:v>9</c:v>
                </c:pt>
                <c:pt idx="10">
                  <c:v>5</c:v>
                </c:pt>
                <c:pt idx="11">
                  <c:v>3</c:v>
                </c:pt>
                <c:pt idx="12">
                  <c:v>18</c:v>
                </c:pt>
                <c:pt idx="13">
                  <c:v>11</c:v>
                </c:pt>
                <c:pt idx="14">
                  <c:v>4</c:v>
                </c:pt>
                <c:pt idx="15">
                  <c:v>2</c:v>
                </c:pt>
                <c:pt idx="16">
                  <c:v>17</c:v>
                </c:pt>
                <c:pt idx="17">
                  <c:v>9</c:v>
                </c:pt>
                <c:pt idx="18">
                  <c:v>5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9B-4A5F-8622-3846162EFF84}"/>
            </c:ext>
          </c:extLst>
        </c:ser>
        <c:ser>
          <c:idx val="2"/>
          <c:order val="1"/>
          <c:tx>
            <c:strRef>
              <c:f>Multiplicative!$E$1</c:f>
              <c:strCache>
                <c:ptCount val="1"/>
                <c:pt idx="0">
                  <c:v>Forecast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Multiplicative!$E$2:$E$25</c:f>
              <c:numCache>
                <c:formatCode>_-* #,##0\ _€_-;\-* #,##0\ _€_-;_-* "-"??\ _€_-;_-@_-</c:formatCode>
                <c:ptCount val="24"/>
                <c:pt idx="4">
                  <c:v>22.78249834515367</c:v>
                </c:pt>
                <c:pt idx="5">
                  <c:v>12.290934961178046</c:v>
                </c:pt>
                <c:pt idx="6">
                  <c:v>5.1428648831376567</c:v>
                </c:pt>
                <c:pt idx="7">
                  <c:v>1.783754677936529</c:v>
                </c:pt>
                <c:pt idx="8">
                  <c:v>11.675444517865884</c:v>
                </c:pt>
                <c:pt idx="9">
                  <c:v>9.279625184797279</c:v>
                </c:pt>
                <c:pt idx="10">
                  <c:v>5.1480785763460073</c:v>
                </c:pt>
                <c:pt idx="11">
                  <c:v>1.9790004947703344</c:v>
                </c:pt>
                <c:pt idx="12">
                  <c:v>29.641322848467606</c:v>
                </c:pt>
                <c:pt idx="13">
                  <c:v>11.765647105295312</c:v>
                </c:pt>
                <c:pt idx="14">
                  <c:v>6.1565641505054511</c:v>
                </c:pt>
                <c:pt idx="15">
                  <c:v>1.7270456447171023</c:v>
                </c:pt>
                <c:pt idx="16">
                  <c:v>18.455598561415897</c:v>
                </c:pt>
                <c:pt idx="17">
                  <c:v>10.166882418156302</c:v>
                </c:pt>
                <c:pt idx="18">
                  <c:v>4.7936933398480823</c:v>
                </c:pt>
                <c:pt idx="19">
                  <c:v>2.0189893846670994</c:v>
                </c:pt>
                <c:pt idx="20">
                  <c:v>10.589838090956729</c:v>
                </c:pt>
                <c:pt idx="21">
                  <c:v>5.9594523681179767</c:v>
                </c:pt>
                <c:pt idx="22">
                  <c:v>3.0341893313491912</c:v>
                </c:pt>
                <c:pt idx="23">
                  <c:v>1.1094125962524708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9B-4A5F-8622-3846162EF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79936"/>
        <c:axId val="202567984"/>
      </c:lineChart>
      <c:catAx>
        <c:axId val="1988799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67984"/>
        <c:crosses val="autoZero"/>
        <c:auto val="1"/>
        <c:lblAlgn val="ctr"/>
        <c:lblOffset val="100"/>
        <c:noMultiLvlLbl val="0"/>
      </c:catAx>
      <c:valAx>
        <c:axId val="2025679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7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Additive!$B$1</c:f>
              <c:strCache>
                <c:ptCount val="1"/>
                <c:pt idx="0">
                  <c:v>Demand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Additive!$B$2:$B$21</c:f>
              <c:numCache>
                <c:formatCode>General</c:formatCode>
                <c:ptCount val="20"/>
                <c:pt idx="0">
                  <c:v>14</c:v>
                </c:pt>
                <c:pt idx="1">
                  <c:v>10</c:v>
                </c:pt>
                <c:pt idx="2">
                  <c:v>6</c:v>
                </c:pt>
                <c:pt idx="3">
                  <c:v>2</c:v>
                </c:pt>
                <c:pt idx="4">
                  <c:v>18</c:v>
                </c:pt>
                <c:pt idx="5">
                  <c:v>8</c:v>
                </c:pt>
                <c:pt idx="6">
                  <c:v>4</c:v>
                </c:pt>
                <c:pt idx="7">
                  <c:v>1</c:v>
                </c:pt>
                <c:pt idx="8">
                  <c:v>16</c:v>
                </c:pt>
                <c:pt idx="9">
                  <c:v>9</c:v>
                </c:pt>
                <c:pt idx="10">
                  <c:v>5</c:v>
                </c:pt>
                <c:pt idx="11">
                  <c:v>3</c:v>
                </c:pt>
                <c:pt idx="12">
                  <c:v>18</c:v>
                </c:pt>
                <c:pt idx="13">
                  <c:v>11</c:v>
                </c:pt>
                <c:pt idx="14">
                  <c:v>4</c:v>
                </c:pt>
                <c:pt idx="15">
                  <c:v>2</c:v>
                </c:pt>
                <c:pt idx="16">
                  <c:v>17</c:v>
                </c:pt>
                <c:pt idx="17">
                  <c:v>9</c:v>
                </c:pt>
                <c:pt idx="18">
                  <c:v>5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06-463C-A1C4-BCBCB913E7A8}"/>
            </c:ext>
          </c:extLst>
        </c:ser>
        <c:ser>
          <c:idx val="2"/>
          <c:order val="1"/>
          <c:tx>
            <c:strRef>
              <c:f>Additive!$C$1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val>
            <c:numRef>
              <c:f>Additive!$C$2:$C$25</c:f>
              <c:numCache>
                <c:formatCode>_-* #,##0\ _€_-;\-* #,##0\ _€_-;_-* "-"??\ _€_-;_-@_-</c:formatCode>
                <c:ptCount val="24"/>
                <c:pt idx="1">
                  <c:v>10</c:v>
                </c:pt>
                <c:pt idx="2">
                  <c:v>8.4999999999999982</c:v>
                </c:pt>
                <c:pt idx="3">
                  <c:v>6.4999999999999982</c:v>
                </c:pt>
                <c:pt idx="4">
                  <c:v>20.440000000000001</c:v>
                </c:pt>
                <c:pt idx="5">
                  <c:v>13.732800000000001</c:v>
                </c:pt>
                <c:pt idx="6">
                  <c:v>6.4327360000000002</c:v>
                </c:pt>
                <c:pt idx="7">
                  <c:v>3.2781043200000006</c:v>
                </c:pt>
                <c:pt idx="8">
                  <c:v>17.769729638400001</c:v>
                </c:pt>
                <c:pt idx="9">
                  <c:v>10.358252331008</c:v>
                </c:pt>
                <c:pt idx="10">
                  <c:v>6.1947258030489589</c:v>
                </c:pt>
                <c:pt idx="11">
                  <c:v>3.5148078476132358</c:v>
                </c:pt>
                <c:pt idx="12">
                  <c:v>19.070739068845032</c:v>
                </c:pt>
                <c:pt idx="13">
                  <c:v>11.92029039764715</c:v>
                </c:pt>
                <c:pt idx="14">
                  <c:v>7.8241704892411619</c:v>
                </c:pt>
                <c:pt idx="15">
                  <c:v>2.5886895970188064</c:v>
                </c:pt>
                <c:pt idx="16">
                  <c:v>17.528729756807429</c:v>
                </c:pt>
                <c:pt idx="17">
                  <c:v>10.354974009678298</c:v>
                </c:pt>
                <c:pt idx="18">
                  <c:v>5.1750716961002148</c:v>
                </c:pt>
                <c:pt idx="19">
                  <c:v>2.9059111050000261</c:v>
                </c:pt>
                <c:pt idx="20">
                  <c:v>16.479795920213707</c:v>
                </c:pt>
                <c:pt idx="21">
                  <c:v>9.3880478934385643</c:v>
                </c:pt>
                <c:pt idx="22">
                  <c:v>5.2200383486013466</c:v>
                </c:pt>
                <c:pt idx="23">
                  <c:v>2.7999950732693417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6-463C-A1C4-BCBCB913E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894864"/>
        <c:axId val="97632912"/>
      </c:lineChart>
      <c:catAx>
        <c:axId val="3098948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2912"/>
        <c:crosses val="autoZero"/>
        <c:auto val="1"/>
        <c:lblAlgn val="ctr"/>
        <c:lblOffset val="100"/>
        <c:noMultiLvlLbl val="0"/>
      </c:catAx>
      <c:valAx>
        <c:axId val="976329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89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Wonsorization!$G$1</c:f>
              <c:strCache>
                <c:ptCount val="1"/>
                <c:pt idx="0">
                  <c:v>D2 - Y1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Wonsorization!$G$2:$G$13</c:f>
              <c:numCache>
                <c:formatCode>General</c:formatCode>
                <c:ptCount val="12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5</c:v>
                </c:pt>
                <c:pt idx="4">
                  <c:v>4</c:v>
                </c:pt>
                <c:pt idx="5">
                  <c:v>9</c:v>
                </c:pt>
                <c:pt idx="6">
                  <c:v>13</c:v>
                </c:pt>
                <c:pt idx="7">
                  <c:v>14</c:v>
                </c:pt>
                <c:pt idx="8">
                  <c:v>11</c:v>
                </c:pt>
                <c:pt idx="9">
                  <c:v>11</c:v>
                </c:pt>
                <c:pt idx="10">
                  <c:v>10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B-3344-BAC4-2851A8C06018}"/>
            </c:ext>
          </c:extLst>
        </c:ser>
        <c:ser>
          <c:idx val="0"/>
          <c:order val="1"/>
          <c:tx>
            <c:strRef>
              <c:f>Wonsorization!$H$1</c:f>
              <c:strCache>
                <c:ptCount val="1"/>
                <c:pt idx="0">
                  <c:v>D2 - Y2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Wonsorization!$H$2:$H$13</c:f>
              <c:numCache>
                <c:formatCode>General</c:formatCode>
                <c:ptCount val="12"/>
                <c:pt idx="0">
                  <c:v>6</c:v>
                </c:pt>
                <c:pt idx="1">
                  <c:v>11</c:v>
                </c:pt>
                <c:pt idx="2">
                  <c:v>14</c:v>
                </c:pt>
                <c:pt idx="3">
                  <c:v>15</c:v>
                </c:pt>
                <c:pt idx="4">
                  <c:v>8</c:v>
                </c:pt>
                <c:pt idx="5">
                  <c:v>12</c:v>
                </c:pt>
                <c:pt idx="6">
                  <c:v>100</c:v>
                </c:pt>
                <c:pt idx="7">
                  <c:v>14</c:v>
                </c:pt>
                <c:pt idx="8">
                  <c:v>11</c:v>
                </c:pt>
                <c:pt idx="9">
                  <c:v>10</c:v>
                </c:pt>
                <c:pt idx="10">
                  <c:v>7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1B-3344-BAC4-2851A8C06018}"/>
            </c:ext>
          </c:extLst>
        </c:ser>
        <c:ser>
          <c:idx val="5"/>
          <c:order val="2"/>
          <c:tx>
            <c:strRef>
              <c:f>Wonsorization!$I$1</c:f>
              <c:strCache>
                <c:ptCount val="1"/>
                <c:pt idx="0">
                  <c:v>D2 - Y3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Wonsorization!$I$2:$I$13</c:f>
              <c:numCache>
                <c:formatCode>General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5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8</c:v>
                </c:pt>
                <c:pt idx="9">
                  <c:v>16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1B-3344-BAC4-2851A8C06018}"/>
            </c:ext>
          </c:extLst>
        </c:ser>
        <c:ser>
          <c:idx val="2"/>
          <c:order val="3"/>
          <c:tx>
            <c:strRef>
              <c:f>Wonsorization!$V$1</c:f>
              <c:strCache>
                <c:ptCount val="1"/>
                <c:pt idx="0">
                  <c:v>T1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Wonsorization!$V$2:$V$13</c:f>
              <c:numCache>
                <c:formatCode>General</c:formatCode>
                <c:ptCount val="12"/>
                <c:pt idx="0">
                  <c:v>4.3499999999999996</c:v>
                </c:pt>
                <c:pt idx="1">
                  <c:v>4.3499999999999996</c:v>
                </c:pt>
                <c:pt idx="2">
                  <c:v>4.3499999999999996</c:v>
                </c:pt>
                <c:pt idx="3">
                  <c:v>4.3499999999999996</c:v>
                </c:pt>
                <c:pt idx="4">
                  <c:v>4.3499999999999996</c:v>
                </c:pt>
                <c:pt idx="5">
                  <c:v>4.3499999999999996</c:v>
                </c:pt>
                <c:pt idx="6">
                  <c:v>4.3499999999999996</c:v>
                </c:pt>
                <c:pt idx="7">
                  <c:v>4.3499999999999996</c:v>
                </c:pt>
                <c:pt idx="8">
                  <c:v>4.3499999999999996</c:v>
                </c:pt>
                <c:pt idx="9">
                  <c:v>4.3499999999999996</c:v>
                </c:pt>
                <c:pt idx="10">
                  <c:v>4.3499999999999996</c:v>
                </c:pt>
                <c:pt idx="11">
                  <c:v>4.3499999999999996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1B-3344-BAC4-2851A8C06018}"/>
            </c:ext>
          </c:extLst>
        </c:ser>
        <c:ser>
          <c:idx val="3"/>
          <c:order val="4"/>
          <c:tx>
            <c:strRef>
              <c:f>Wonsorization!$W$1</c:f>
              <c:strCache>
                <c:ptCount val="1"/>
                <c:pt idx="0">
                  <c:v>T2</c:v>
                </c:pt>
              </c:strCache>
            </c:strRef>
          </c:tx>
          <c:spPr>
            <a:ln w="28575" cap="rnd">
              <a:solidFill>
                <a:schemeClr val="bg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Wonsorization!$W$2:$W$13</c:f>
              <c:numCache>
                <c:formatCode>General</c:formatCode>
                <c:ptCount val="12"/>
                <c:pt idx="0">
                  <c:v>16.649999999999999</c:v>
                </c:pt>
                <c:pt idx="1">
                  <c:v>16.649999999999999</c:v>
                </c:pt>
                <c:pt idx="2">
                  <c:v>16.649999999999999</c:v>
                </c:pt>
                <c:pt idx="3">
                  <c:v>16.649999999999999</c:v>
                </c:pt>
                <c:pt idx="4">
                  <c:v>16.649999999999999</c:v>
                </c:pt>
                <c:pt idx="5">
                  <c:v>16.649999999999999</c:v>
                </c:pt>
                <c:pt idx="6">
                  <c:v>16.649999999999999</c:v>
                </c:pt>
                <c:pt idx="7">
                  <c:v>16.649999999999999</c:v>
                </c:pt>
                <c:pt idx="8">
                  <c:v>16.649999999999999</c:v>
                </c:pt>
                <c:pt idx="9">
                  <c:v>16.649999999999999</c:v>
                </c:pt>
                <c:pt idx="10">
                  <c:v>16.649999999999999</c:v>
                </c:pt>
                <c:pt idx="11">
                  <c:v>16.649999999999999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1B-3344-BAC4-2851A8C06018}"/>
            </c:ext>
          </c:extLst>
        </c:ser>
        <c:ser>
          <c:idx val="4"/>
          <c:order val="5"/>
          <c:tx>
            <c:strRef>
              <c:f>Wonsorization!$X$1</c:f>
              <c:strCache>
                <c:ptCount val="1"/>
                <c:pt idx="0">
                  <c:v>T2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Wonsorization!$X$2:$X$13</c:f>
              <c:numCache>
                <c:formatCode>General</c:formatCode>
                <c:ptCount val="12"/>
                <c:pt idx="0">
                  <c:v>70.949999999999875</c:v>
                </c:pt>
                <c:pt idx="1">
                  <c:v>70.949999999999875</c:v>
                </c:pt>
                <c:pt idx="2">
                  <c:v>70.949999999999875</c:v>
                </c:pt>
                <c:pt idx="3">
                  <c:v>70.949999999999875</c:v>
                </c:pt>
                <c:pt idx="4">
                  <c:v>70.949999999999875</c:v>
                </c:pt>
                <c:pt idx="5">
                  <c:v>70.949999999999875</c:v>
                </c:pt>
                <c:pt idx="6">
                  <c:v>70.949999999999875</c:v>
                </c:pt>
                <c:pt idx="7">
                  <c:v>70.949999999999875</c:v>
                </c:pt>
                <c:pt idx="8">
                  <c:v>70.949999999999875</c:v>
                </c:pt>
                <c:pt idx="9">
                  <c:v>70.949999999999875</c:v>
                </c:pt>
                <c:pt idx="10">
                  <c:v>70.949999999999875</c:v>
                </c:pt>
                <c:pt idx="11">
                  <c:v>70.949999999999875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1B-3344-BAC4-2851A8C06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221247"/>
        <c:axId val="1485222895"/>
      </c:lineChart>
      <c:catAx>
        <c:axId val="14852212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22895"/>
        <c:crosses val="autoZero"/>
        <c:auto val="1"/>
        <c:lblAlgn val="ctr"/>
        <c:lblOffset val="100"/>
        <c:noMultiLvlLbl val="0"/>
      </c:catAx>
      <c:valAx>
        <c:axId val="1485222895"/>
        <c:scaling>
          <c:orientation val="minMax"/>
          <c:max val="11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2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Wonsorization!$C$1</c:f>
              <c:strCache>
                <c:ptCount val="1"/>
                <c:pt idx="0">
                  <c:v>D1 - Y1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Wonsorization!$C$2:$C$13</c:f>
              <c:numCache>
                <c:formatCode>General</c:formatCode>
                <c:ptCount val="12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5</c:v>
                </c:pt>
                <c:pt idx="4">
                  <c:v>4</c:v>
                </c:pt>
                <c:pt idx="5">
                  <c:v>9</c:v>
                </c:pt>
                <c:pt idx="6">
                  <c:v>13</c:v>
                </c:pt>
                <c:pt idx="7">
                  <c:v>14</c:v>
                </c:pt>
                <c:pt idx="8">
                  <c:v>11</c:v>
                </c:pt>
                <c:pt idx="9">
                  <c:v>11</c:v>
                </c:pt>
                <c:pt idx="10">
                  <c:v>10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F-964D-AF8A-45FA3214FD0D}"/>
            </c:ext>
          </c:extLst>
        </c:ser>
        <c:ser>
          <c:idx val="0"/>
          <c:order val="1"/>
          <c:tx>
            <c:strRef>
              <c:f>Wonsorization!$D$1</c:f>
              <c:strCache>
                <c:ptCount val="1"/>
                <c:pt idx="0">
                  <c:v>D1 - Y2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Wonsorization!$D$2:$D$13</c:f>
              <c:numCache>
                <c:formatCode>General</c:formatCode>
                <c:ptCount val="12"/>
                <c:pt idx="0">
                  <c:v>6</c:v>
                </c:pt>
                <c:pt idx="1">
                  <c:v>11</c:v>
                </c:pt>
                <c:pt idx="2">
                  <c:v>14</c:v>
                </c:pt>
                <c:pt idx="3">
                  <c:v>15</c:v>
                </c:pt>
                <c:pt idx="4">
                  <c:v>8</c:v>
                </c:pt>
                <c:pt idx="5">
                  <c:v>12</c:v>
                </c:pt>
                <c:pt idx="6">
                  <c:v>14</c:v>
                </c:pt>
                <c:pt idx="7">
                  <c:v>14</c:v>
                </c:pt>
                <c:pt idx="8">
                  <c:v>11</c:v>
                </c:pt>
                <c:pt idx="9">
                  <c:v>10</c:v>
                </c:pt>
                <c:pt idx="10">
                  <c:v>7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8F-964D-AF8A-45FA3214FD0D}"/>
            </c:ext>
          </c:extLst>
        </c:ser>
        <c:ser>
          <c:idx val="5"/>
          <c:order val="2"/>
          <c:tx>
            <c:strRef>
              <c:f>Wonsorization!$E$1</c:f>
              <c:strCache>
                <c:ptCount val="1"/>
                <c:pt idx="0">
                  <c:v>D1 - Y3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Wonsorization!$E$2:$E$13</c:f>
              <c:numCache>
                <c:formatCode>General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5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8</c:v>
                </c:pt>
                <c:pt idx="9">
                  <c:v>16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8F-964D-AF8A-45FA3214FD0D}"/>
            </c:ext>
          </c:extLst>
        </c:ser>
        <c:ser>
          <c:idx val="2"/>
          <c:order val="3"/>
          <c:tx>
            <c:strRef>
              <c:f>Wonsorization!$V$1</c:f>
              <c:strCache>
                <c:ptCount val="1"/>
                <c:pt idx="0">
                  <c:v>T1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Wonsorization!$V$2:$V$13</c:f>
              <c:numCache>
                <c:formatCode>General</c:formatCode>
                <c:ptCount val="12"/>
                <c:pt idx="0">
                  <c:v>4.3499999999999996</c:v>
                </c:pt>
                <c:pt idx="1">
                  <c:v>4.3499999999999996</c:v>
                </c:pt>
                <c:pt idx="2">
                  <c:v>4.3499999999999996</c:v>
                </c:pt>
                <c:pt idx="3">
                  <c:v>4.3499999999999996</c:v>
                </c:pt>
                <c:pt idx="4">
                  <c:v>4.3499999999999996</c:v>
                </c:pt>
                <c:pt idx="5">
                  <c:v>4.3499999999999996</c:v>
                </c:pt>
                <c:pt idx="6">
                  <c:v>4.3499999999999996</c:v>
                </c:pt>
                <c:pt idx="7">
                  <c:v>4.3499999999999996</c:v>
                </c:pt>
                <c:pt idx="8">
                  <c:v>4.3499999999999996</c:v>
                </c:pt>
                <c:pt idx="9">
                  <c:v>4.3499999999999996</c:v>
                </c:pt>
                <c:pt idx="10">
                  <c:v>4.3499999999999996</c:v>
                </c:pt>
                <c:pt idx="11">
                  <c:v>4.3499999999999996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8F-964D-AF8A-45FA3214FD0D}"/>
            </c:ext>
          </c:extLst>
        </c:ser>
        <c:ser>
          <c:idx val="3"/>
          <c:order val="4"/>
          <c:tx>
            <c:strRef>
              <c:f>Wonsorization!$W$1</c:f>
              <c:strCache>
                <c:ptCount val="1"/>
                <c:pt idx="0">
                  <c:v>T2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Wonsorization!$W$2:$W$13</c:f>
              <c:numCache>
                <c:formatCode>General</c:formatCode>
                <c:ptCount val="12"/>
                <c:pt idx="0">
                  <c:v>16.649999999999999</c:v>
                </c:pt>
                <c:pt idx="1">
                  <c:v>16.649999999999999</c:v>
                </c:pt>
                <c:pt idx="2">
                  <c:v>16.649999999999999</c:v>
                </c:pt>
                <c:pt idx="3">
                  <c:v>16.649999999999999</c:v>
                </c:pt>
                <c:pt idx="4">
                  <c:v>16.649999999999999</c:v>
                </c:pt>
                <c:pt idx="5">
                  <c:v>16.649999999999999</c:v>
                </c:pt>
                <c:pt idx="6">
                  <c:v>16.649999999999999</c:v>
                </c:pt>
                <c:pt idx="7">
                  <c:v>16.649999999999999</c:v>
                </c:pt>
                <c:pt idx="8">
                  <c:v>16.649999999999999</c:v>
                </c:pt>
                <c:pt idx="9">
                  <c:v>16.649999999999999</c:v>
                </c:pt>
                <c:pt idx="10">
                  <c:v>16.649999999999999</c:v>
                </c:pt>
                <c:pt idx="11">
                  <c:v>16.649999999999999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8F-964D-AF8A-45FA3214FD0D}"/>
            </c:ext>
          </c:extLst>
        </c:ser>
        <c:ser>
          <c:idx val="4"/>
          <c:order val="5"/>
          <c:tx>
            <c:strRef>
              <c:f>Wonsorization!$X$1</c:f>
              <c:strCache>
                <c:ptCount val="1"/>
                <c:pt idx="0">
                  <c:v>T2</c:v>
                </c:pt>
              </c:strCache>
            </c:strRef>
          </c:tx>
          <c:spPr>
            <a:ln w="28575" cap="rnd">
              <a:solidFill>
                <a:schemeClr val="bg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Wonsorization!$X$2:$X$13</c:f>
              <c:numCache>
                <c:formatCode>General</c:formatCode>
                <c:ptCount val="12"/>
                <c:pt idx="0">
                  <c:v>70.949999999999875</c:v>
                </c:pt>
                <c:pt idx="1">
                  <c:v>70.949999999999875</c:v>
                </c:pt>
                <c:pt idx="2">
                  <c:v>70.949999999999875</c:v>
                </c:pt>
                <c:pt idx="3">
                  <c:v>70.949999999999875</c:v>
                </c:pt>
                <c:pt idx="4">
                  <c:v>70.949999999999875</c:v>
                </c:pt>
                <c:pt idx="5">
                  <c:v>70.949999999999875</c:v>
                </c:pt>
                <c:pt idx="6">
                  <c:v>70.949999999999875</c:v>
                </c:pt>
                <c:pt idx="7">
                  <c:v>70.949999999999875</c:v>
                </c:pt>
                <c:pt idx="8">
                  <c:v>70.949999999999875</c:v>
                </c:pt>
                <c:pt idx="9">
                  <c:v>70.949999999999875</c:v>
                </c:pt>
                <c:pt idx="10">
                  <c:v>70.949999999999875</c:v>
                </c:pt>
                <c:pt idx="11">
                  <c:v>70.949999999999875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8F-964D-AF8A-45FA3214F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221247"/>
        <c:axId val="1485222895"/>
      </c:lineChart>
      <c:catAx>
        <c:axId val="14852212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22895"/>
        <c:crosses val="autoZero"/>
        <c:auto val="1"/>
        <c:lblAlgn val="ctr"/>
        <c:lblOffset val="100"/>
        <c:noMultiLvlLbl val="0"/>
      </c:catAx>
      <c:valAx>
        <c:axId val="1485222895"/>
        <c:scaling>
          <c:orientation val="minMax"/>
          <c:max val="11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2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'Parameter Optimization'!$B$2:$B$12</c:f>
              <c:numCache>
                <c:formatCode>_-* #,##0\ _€_-;\-* #,##0\ _€_-;_-* "-"??\ _€_-;_-@_-</c:formatCode>
                <c:ptCount val="11"/>
                <c:pt idx="0">
                  <c:v>37</c:v>
                </c:pt>
                <c:pt idx="1">
                  <c:v>60</c:v>
                </c:pt>
                <c:pt idx="2">
                  <c:v>85</c:v>
                </c:pt>
                <c:pt idx="3">
                  <c:v>112</c:v>
                </c:pt>
                <c:pt idx="4">
                  <c:v>132</c:v>
                </c:pt>
                <c:pt idx="5">
                  <c:v>145</c:v>
                </c:pt>
                <c:pt idx="6">
                  <c:v>179</c:v>
                </c:pt>
                <c:pt idx="7">
                  <c:v>198</c:v>
                </c:pt>
                <c:pt idx="8">
                  <c:v>212</c:v>
                </c:pt>
                <c:pt idx="9">
                  <c:v>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87-2E4A-A8A4-A3853632B3A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'Parameter Optimization'!$C$2:$C$12</c:f>
              <c:numCache>
                <c:formatCode>_-* #,##0\ _€_-;\-* #,##0\ _€_-;_-* "-"??\ _€_-;_-@_-</c:formatCode>
                <c:ptCount val="11"/>
                <c:pt idx="1">
                  <c:v>60</c:v>
                </c:pt>
                <c:pt idx="2">
                  <c:v>83</c:v>
                </c:pt>
                <c:pt idx="3">
                  <c:v>107.19232532332697</c:v>
                </c:pt>
                <c:pt idx="4">
                  <c:v>133.654644116648</c:v>
                </c:pt>
                <c:pt idx="5">
                  <c:v>157.69744780345354</c:v>
                </c:pt>
                <c:pt idx="6">
                  <c:v>174.66372573176238</c:v>
                </c:pt>
                <c:pt idx="7">
                  <c:v>198.00000060894672</c:v>
                </c:pt>
                <c:pt idx="8">
                  <c:v>220.04371271837203</c:v>
                </c:pt>
                <c:pt idx="9">
                  <c:v>237.29206382547187</c:v>
                </c:pt>
                <c:pt idx="10">
                  <c:v>253.78316466860588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87-2E4A-A8A4-A3853632B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556479"/>
        <c:axId val="44559423"/>
      </c:lineChart>
      <c:catAx>
        <c:axId val="280556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9423"/>
        <c:crosses val="autoZero"/>
        <c:auto val="1"/>
        <c:lblAlgn val="ctr"/>
        <c:lblOffset val="100"/>
        <c:noMultiLvlLbl val="0"/>
      </c:catAx>
      <c:valAx>
        <c:axId val="4455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55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32525</xdr:colOff>
      <xdr:row>1</xdr:row>
      <xdr:rowOff>41818</xdr:rowOff>
    </xdr:from>
    <xdr:to>
      <xdr:col>0</xdr:col>
      <xdr:colOff>487866</xdr:colOff>
      <xdr:row>10</xdr:row>
      <xdr:rowOff>171914</xdr:rowOff>
    </xdr:to>
    <xdr:sp macro="" textlink="">
      <xdr:nvSpPr>
        <xdr:cNvPr id="2" name="Arrow: Up-Down 1">
          <a:extLst>
            <a:ext uri="{FF2B5EF4-FFF2-40B4-BE49-F238E27FC236}">
              <a16:creationId xmlns:a16="http://schemas.microsoft.com/office/drawing/2014/main" id="{FD9A5391-9446-4CE4-8017-5453B7DF8C2B}"/>
            </a:ext>
          </a:extLst>
        </xdr:cNvPr>
        <xdr:cNvSpPr/>
      </xdr:nvSpPr>
      <xdr:spPr>
        <a:xfrm>
          <a:off x="32525" y="232318"/>
          <a:ext cx="455341" cy="1844596"/>
        </a:xfrm>
        <a:prstGeom prst="up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vert270" lIns="0" tIns="0" rIns="0" bIns="0" rtlCol="0" anchor="ctr"/>
        <a:lstStyle/>
        <a:p>
          <a:pPr algn="ctr"/>
          <a:r>
            <a:rPr lang="en-US" sz="1100"/>
            <a:t>Historical period</a:t>
          </a:r>
        </a:p>
      </xdr:txBody>
    </xdr:sp>
    <xdr:clientData/>
  </xdr:twoCellAnchor>
  <xdr:twoCellAnchor>
    <xdr:from>
      <xdr:col>0</xdr:col>
      <xdr:colOff>41817</xdr:colOff>
      <xdr:row>11</xdr:row>
      <xdr:rowOff>18583</xdr:rowOff>
    </xdr:from>
    <xdr:to>
      <xdr:col>0</xdr:col>
      <xdr:colOff>497158</xdr:colOff>
      <xdr:row>14</xdr:row>
      <xdr:rowOff>175628</xdr:rowOff>
    </xdr:to>
    <xdr:sp macro="" textlink="">
      <xdr:nvSpPr>
        <xdr:cNvPr id="3" name="Arrow: Up-Down 2">
          <a:extLst>
            <a:ext uri="{FF2B5EF4-FFF2-40B4-BE49-F238E27FC236}">
              <a16:creationId xmlns:a16="http://schemas.microsoft.com/office/drawing/2014/main" id="{0939A5C0-28A2-44FE-8C57-7A5442EC3E97}"/>
            </a:ext>
          </a:extLst>
        </xdr:cNvPr>
        <xdr:cNvSpPr/>
      </xdr:nvSpPr>
      <xdr:spPr>
        <a:xfrm>
          <a:off x="41817" y="2114083"/>
          <a:ext cx="455341" cy="728545"/>
        </a:xfrm>
        <a:prstGeom prst="up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vert270" lIns="0" tIns="0" rIns="0" bIns="0" rtlCol="0" anchor="ctr"/>
        <a:lstStyle/>
        <a:p>
          <a:pPr algn="ctr"/>
          <a:r>
            <a:rPr lang="en-US" sz="1100"/>
            <a:t>Future</a:t>
          </a:r>
        </a:p>
      </xdr:txBody>
    </xdr:sp>
    <xdr:clientData/>
  </xdr:twoCellAnchor>
  <xdr:twoCellAnchor>
    <xdr:from>
      <xdr:col>3</xdr:col>
      <xdr:colOff>523874</xdr:colOff>
      <xdr:row>0</xdr:row>
      <xdr:rowOff>91168</xdr:rowOff>
    </xdr:from>
    <xdr:to>
      <xdr:col>13</xdr:col>
      <xdr:colOff>212610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3D1C23-FB95-4DBE-8B12-B1BCDB894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26928</xdr:colOff>
      <xdr:row>19</xdr:row>
      <xdr:rowOff>114300</xdr:rowOff>
    </xdr:from>
    <xdr:to>
      <xdr:col>6</xdr:col>
      <xdr:colOff>153933</xdr:colOff>
      <xdr:row>27</xdr:row>
      <xdr:rowOff>114975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71F972BD-5D3C-0715-C699-2BF701A34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341" y="3552825"/>
          <a:ext cx="3294067" cy="1448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32525</xdr:colOff>
      <xdr:row>1</xdr:row>
      <xdr:rowOff>41818</xdr:rowOff>
    </xdr:from>
    <xdr:to>
      <xdr:col>0</xdr:col>
      <xdr:colOff>487866</xdr:colOff>
      <xdr:row>10</xdr:row>
      <xdr:rowOff>171914</xdr:rowOff>
    </xdr:to>
    <xdr:sp macro="" textlink="">
      <xdr:nvSpPr>
        <xdr:cNvPr id="6" name="Arrow: Up-Down 5">
          <a:extLst>
            <a:ext uri="{FF2B5EF4-FFF2-40B4-BE49-F238E27FC236}">
              <a16:creationId xmlns:a16="http://schemas.microsoft.com/office/drawing/2014/main" id="{8FB0FCED-C89D-46DB-93E7-71CCC4B62439}"/>
            </a:ext>
          </a:extLst>
        </xdr:cNvPr>
        <xdr:cNvSpPr/>
      </xdr:nvSpPr>
      <xdr:spPr>
        <a:xfrm>
          <a:off x="32525" y="232318"/>
          <a:ext cx="455341" cy="1844596"/>
        </a:xfrm>
        <a:prstGeom prst="up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vert270" lIns="0" tIns="0" rIns="0" bIns="0" rtlCol="0" anchor="ctr"/>
        <a:lstStyle/>
        <a:p>
          <a:pPr algn="ctr"/>
          <a:r>
            <a:rPr lang="en-US" sz="1100"/>
            <a:t>Historical period</a:t>
          </a:r>
        </a:p>
      </xdr:txBody>
    </xdr:sp>
    <xdr:clientData/>
  </xdr:twoCellAnchor>
  <xdr:twoCellAnchor>
    <xdr:from>
      <xdr:col>0</xdr:col>
      <xdr:colOff>41817</xdr:colOff>
      <xdr:row>11</xdr:row>
      <xdr:rowOff>18583</xdr:rowOff>
    </xdr:from>
    <xdr:to>
      <xdr:col>0</xdr:col>
      <xdr:colOff>497158</xdr:colOff>
      <xdr:row>14</xdr:row>
      <xdr:rowOff>36635</xdr:rowOff>
    </xdr:to>
    <xdr:sp macro="" textlink="">
      <xdr:nvSpPr>
        <xdr:cNvPr id="7" name="Arrow: Up-Down 6">
          <a:extLst>
            <a:ext uri="{FF2B5EF4-FFF2-40B4-BE49-F238E27FC236}">
              <a16:creationId xmlns:a16="http://schemas.microsoft.com/office/drawing/2014/main" id="{A00BE798-3442-45FF-BC65-7663DAD86145}"/>
            </a:ext>
          </a:extLst>
        </xdr:cNvPr>
        <xdr:cNvSpPr/>
      </xdr:nvSpPr>
      <xdr:spPr>
        <a:xfrm>
          <a:off x="41817" y="2626968"/>
          <a:ext cx="455341" cy="743417"/>
        </a:xfrm>
        <a:prstGeom prst="up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vert270" lIns="0" tIns="0" rIns="0" bIns="0" rtlCol="0" anchor="ctr"/>
        <a:lstStyle/>
        <a:p>
          <a:pPr algn="ctr"/>
          <a:r>
            <a:rPr lang="en-US" sz="1100"/>
            <a:t>Future</a:t>
          </a:r>
        </a:p>
      </xdr:txBody>
    </xdr:sp>
    <xdr:clientData/>
  </xdr:twoCellAnchor>
  <xdr:twoCellAnchor>
    <xdr:from>
      <xdr:col>5</xdr:col>
      <xdr:colOff>516548</xdr:colOff>
      <xdr:row>0</xdr:row>
      <xdr:rowOff>0</xdr:rowOff>
    </xdr:from>
    <xdr:to>
      <xdr:col>13</xdr:col>
      <xdr:colOff>157527</xdr:colOff>
      <xdr:row>14</xdr:row>
      <xdr:rowOff>81084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644CEC-6CAD-4890-B8BA-E59132ADE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715474</xdr:colOff>
      <xdr:row>16</xdr:row>
      <xdr:rowOff>29308</xdr:rowOff>
    </xdr:from>
    <xdr:to>
      <xdr:col>5</xdr:col>
      <xdr:colOff>388327</xdr:colOff>
      <xdr:row>23</xdr:row>
      <xdr:rowOff>56050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19F354B9-C92F-41A0-2874-E9837004531E}"/>
            </a:ext>
          </a:extLst>
        </xdr:cNvPr>
        <xdr:cNvSpPr txBox="1"/>
      </xdr:nvSpPr>
      <xdr:spPr>
        <a:xfrm>
          <a:off x="715474" y="3722077"/>
          <a:ext cx="3651372" cy="13089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kern="1200"/>
            <a:t>Prendre</a:t>
          </a:r>
          <a:r>
            <a:rPr lang="en-GB" sz="1100" kern="1200" baseline="0"/>
            <a:t> les n mois avant et faire la moyenne de ceux ci</a:t>
          </a:r>
        </a:p>
        <a:p>
          <a:endParaRPr lang="en-GB" sz="1100" kern="1200" baseline="0"/>
        </a:p>
        <a:p>
          <a:r>
            <a:rPr lang="en-GB" sz="1100" kern="1200" baseline="0"/>
            <a:t>f(k) = moyenne( d(k-5), d(k-4), d(k-3), d(k-2), d(k-1))</a:t>
          </a:r>
        </a:p>
        <a:p>
          <a:endParaRPr lang="en-GB" sz="1100" kern="1200" baseline="0"/>
        </a:p>
        <a:p>
          <a:r>
            <a:rPr lang="en-GB" sz="1100" kern="1200" baseline="0"/>
            <a:t>Si on n'a plus les demand (si on veut forecast plus loin, on reprend la dernière valuer forecastée</a:t>
          </a:r>
          <a:endParaRPr lang="en-GB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32525</xdr:colOff>
      <xdr:row>1</xdr:row>
      <xdr:rowOff>41818</xdr:rowOff>
    </xdr:from>
    <xdr:to>
      <xdr:col>0</xdr:col>
      <xdr:colOff>487866</xdr:colOff>
      <xdr:row>10</xdr:row>
      <xdr:rowOff>171914</xdr:rowOff>
    </xdr:to>
    <xdr:sp macro="" textlink="">
      <xdr:nvSpPr>
        <xdr:cNvPr id="2" name="Arrow: Up-Down 5">
          <a:extLst>
            <a:ext uri="{FF2B5EF4-FFF2-40B4-BE49-F238E27FC236}">
              <a16:creationId xmlns:a16="http://schemas.microsoft.com/office/drawing/2014/main" id="{94520FD0-A4AA-D146-8285-0F892C00C559}"/>
            </a:ext>
          </a:extLst>
        </xdr:cNvPr>
        <xdr:cNvSpPr/>
      </xdr:nvSpPr>
      <xdr:spPr>
        <a:xfrm>
          <a:off x="32525" y="232318"/>
          <a:ext cx="455341" cy="2187496"/>
        </a:xfrm>
        <a:prstGeom prst="up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vert270" lIns="0" tIns="0" rIns="0" bIns="0" rtlCol="0" anchor="ctr"/>
        <a:lstStyle/>
        <a:p>
          <a:pPr algn="ctr"/>
          <a:r>
            <a:rPr lang="en-US" sz="1100"/>
            <a:t>Historical period</a:t>
          </a:r>
        </a:p>
      </xdr:txBody>
    </xdr:sp>
    <xdr:clientData/>
  </xdr:twoCellAnchor>
  <xdr:twoCellAnchor>
    <xdr:from>
      <xdr:col>0</xdr:col>
      <xdr:colOff>41817</xdr:colOff>
      <xdr:row>11</xdr:row>
      <xdr:rowOff>18583</xdr:rowOff>
    </xdr:from>
    <xdr:to>
      <xdr:col>0</xdr:col>
      <xdr:colOff>497158</xdr:colOff>
      <xdr:row>14</xdr:row>
      <xdr:rowOff>36635</xdr:rowOff>
    </xdr:to>
    <xdr:sp macro="" textlink="">
      <xdr:nvSpPr>
        <xdr:cNvPr id="3" name="Arrow: Up-Down 6">
          <a:extLst>
            <a:ext uri="{FF2B5EF4-FFF2-40B4-BE49-F238E27FC236}">
              <a16:creationId xmlns:a16="http://schemas.microsoft.com/office/drawing/2014/main" id="{8CE1FEE7-21F7-BE41-92FA-B516A4DF119F}"/>
            </a:ext>
          </a:extLst>
        </xdr:cNvPr>
        <xdr:cNvSpPr/>
      </xdr:nvSpPr>
      <xdr:spPr>
        <a:xfrm>
          <a:off x="41817" y="2495083"/>
          <a:ext cx="455341" cy="703852"/>
        </a:xfrm>
        <a:prstGeom prst="up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vert270" lIns="0" tIns="0" rIns="0" bIns="0" rtlCol="0" anchor="ctr"/>
        <a:lstStyle/>
        <a:p>
          <a:pPr algn="ctr"/>
          <a:r>
            <a:rPr lang="en-US" sz="1100"/>
            <a:t>Future</a:t>
          </a:r>
        </a:p>
      </xdr:txBody>
    </xdr:sp>
    <xdr:clientData/>
  </xdr:twoCellAnchor>
  <xdr:twoCellAnchor>
    <xdr:from>
      <xdr:col>8</xdr:col>
      <xdr:colOff>116007</xdr:colOff>
      <xdr:row>0</xdr:row>
      <xdr:rowOff>156307</xdr:rowOff>
    </xdr:from>
    <xdr:to>
      <xdr:col>17</xdr:col>
      <xdr:colOff>488461</xdr:colOff>
      <xdr:row>17</xdr:row>
      <xdr:rowOff>87923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1331D2-49EB-6A42-8E2B-CECB970EF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666750</xdr:colOff>
      <xdr:row>18</xdr:row>
      <xdr:rowOff>161193</xdr:rowOff>
    </xdr:from>
    <xdr:to>
      <xdr:col>5</xdr:col>
      <xdr:colOff>344365</xdr:colOff>
      <xdr:row>26</xdr:row>
      <xdr:rowOff>4762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6BED0D4F-9B7B-44F1-AB74-47A953C34FB7}"/>
            </a:ext>
          </a:extLst>
        </xdr:cNvPr>
        <xdr:cNvSpPr txBox="1"/>
      </xdr:nvSpPr>
      <xdr:spPr>
        <a:xfrm>
          <a:off x="666750" y="4220308"/>
          <a:ext cx="3656134" cy="13089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kern="1200"/>
            <a:t>Pareil que moving average</a:t>
          </a:r>
        </a:p>
        <a:p>
          <a:r>
            <a:rPr lang="en-GB" sz="1100" kern="1200"/>
            <a:t>-</a:t>
          </a:r>
          <a:r>
            <a:rPr lang="en-GB" sz="1100" kern="1200" baseline="0"/>
            <a:t> Ici on check aussi la MAE (Mean Absolute Error)</a:t>
          </a:r>
        </a:p>
        <a:p>
          <a:r>
            <a:rPr lang="en-GB" sz="1100" kern="1200" baseline="0"/>
            <a:t>- On calcule la différence entre les demand et forecast, puis on average (c'est tout con)</a:t>
          </a:r>
        </a:p>
        <a:p>
          <a:endParaRPr lang="en-GB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643759</xdr:colOff>
      <xdr:row>1</xdr:row>
      <xdr:rowOff>76856</xdr:rowOff>
    </xdr:from>
    <xdr:to>
      <xdr:col>11</xdr:col>
      <xdr:colOff>264948</xdr:colOff>
      <xdr:row>15</xdr:row>
      <xdr:rowOff>155246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CAEC27-4E29-4918-9749-04829BB1C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479534</xdr:colOff>
      <xdr:row>16</xdr:row>
      <xdr:rowOff>45982</xdr:rowOff>
    </xdr:from>
    <xdr:to>
      <xdr:col>6</xdr:col>
      <xdr:colOff>194289</xdr:colOff>
      <xdr:row>23</xdr:row>
      <xdr:rowOff>72181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369222F3-30CC-4CF2-9A2B-FDCCBAEFE564}"/>
            </a:ext>
          </a:extLst>
        </xdr:cNvPr>
        <xdr:cNvSpPr txBox="1"/>
      </xdr:nvSpPr>
      <xdr:spPr>
        <a:xfrm>
          <a:off x="479534" y="2988879"/>
          <a:ext cx="3656134" cy="13137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kern="1200"/>
            <a:t>Appliquer la formule</a:t>
          </a:r>
        </a:p>
        <a:p>
          <a:r>
            <a:rPr lang="en-GB" sz="1100" kern="1200"/>
            <a:t>- f(t+1)</a:t>
          </a:r>
          <a:r>
            <a:rPr lang="en-GB" sz="1100" kern="1200" baseline="0"/>
            <a:t> = alpha * d(t) + (1- alpha) * f(t)</a:t>
          </a:r>
        </a:p>
        <a:p>
          <a:endParaRPr lang="en-GB" sz="1100" kern="1200" baseline="0"/>
        </a:p>
        <a:p>
          <a:r>
            <a:rPr lang="en-GB" sz="1100" kern="1200" baseline="0"/>
            <a:t>On peut faire varier alpha c'est cool</a:t>
          </a:r>
          <a:endParaRPr lang="en-GB" sz="1100" kern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514657</xdr:colOff>
      <xdr:row>3</xdr:row>
      <xdr:rowOff>38407</xdr:rowOff>
    </xdr:from>
    <xdr:to>
      <xdr:col>13</xdr:col>
      <xdr:colOff>549993</xdr:colOff>
      <xdr:row>18</xdr:row>
      <xdr:rowOff>92638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57A420-8956-4634-AC6B-D39708103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140834</xdr:colOff>
      <xdr:row>17</xdr:row>
      <xdr:rowOff>95250</xdr:rowOff>
    </xdr:from>
    <xdr:to>
      <xdr:col>6</xdr:col>
      <xdr:colOff>68036</xdr:colOff>
      <xdr:row>27</xdr:row>
      <xdr:rowOff>163284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3F94F77D-1A36-4AA2-B46C-1EFE99061531}"/>
            </a:ext>
          </a:extLst>
        </xdr:cNvPr>
        <xdr:cNvSpPr txBox="1"/>
      </xdr:nvSpPr>
      <xdr:spPr>
        <a:xfrm>
          <a:off x="140834" y="3218089"/>
          <a:ext cx="3920898" cy="1904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kern="1200"/>
            <a:t>Double</a:t>
          </a:r>
          <a:r>
            <a:rPr lang="en-GB" sz="1100" kern="1200" baseline="0"/>
            <a:t> exponential smoothing</a:t>
          </a:r>
          <a:endParaRPr lang="en-GB" sz="1100" kern="1200"/>
        </a:p>
        <a:p>
          <a:r>
            <a:rPr lang="en-GB" sz="1100" kern="1200"/>
            <a:t>a(t)</a:t>
          </a:r>
          <a:r>
            <a:rPr lang="en-GB" sz="1100" kern="1200" baseline="0"/>
            <a:t> = alpha * d(t) + (1-alpha) (a(t-1) + b(t-1)</a:t>
          </a:r>
        </a:p>
        <a:p>
          <a:r>
            <a:rPr lang="en-GB" sz="1100" kern="1200" baseline="0"/>
            <a:t>b(t) = beta *(a(t)-a(t-1)) + (1-beta) b(t-1)</a:t>
          </a:r>
        </a:p>
        <a:p>
          <a:endParaRPr lang="en-GB" sz="1100" kern="1200" baseline="0"/>
        </a:p>
        <a:p>
          <a:r>
            <a:rPr lang="en-GB" sz="1100" kern="1200" baseline="0"/>
            <a:t>f(t+1) = a(t)+ b(t)</a:t>
          </a:r>
        </a:p>
        <a:p>
          <a:endParaRPr lang="en-GB" sz="1100" kern="1200" baseline="0"/>
        </a:p>
        <a:p>
          <a:r>
            <a:rPr lang="en-GB" sz="1100" kern="1200" baseline="0"/>
            <a:t>Et pour forecast plus loin: (a lambda + loin)</a:t>
          </a:r>
        </a:p>
        <a:p>
          <a:r>
            <a:rPr lang="en-GB" sz="1100" kern="1200" baseline="0"/>
            <a:t>f(t+lambda) = a(t) + lambda* b(t)</a:t>
          </a:r>
          <a:endParaRPr lang="en-GB" sz="1100" kern="1200"/>
        </a:p>
      </xdr:txBody>
    </xdr:sp>
    <xdr:clientData/>
  </xdr:twoCellAnchor>
  <xdr:twoCellAnchor editAs="oneCell">
    <xdr:from>
      <xdr:col>6</xdr:col>
      <xdr:colOff>510267</xdr:colOff>
      <xdr:row>19</xdr:row>
      <xdr:rowOff>89331</xdr:rowOff>
    </xdr:from>
    <xdr:to>
      <xdr:col>11</xdr:col>
      <xdr:colOff>209152</xdr:colOff>
      <xdr:row>27</xdr:row>
      <xdr:rowOff>138285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78B443A-F3F9-1456-7C9E-F6E8A7F42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3553" y="3579564"/>
          <a:ext cx="2862546" cy="15185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11380</xdr:colOff>
      <xdr:row>0</xdr:row>
      <xdr:rowOff>29308</xdr:rowOff>
    </xdr:from>
    <xdr:to>
      <xdr:col>18</xdr:col>
      <xdr:colOff>310118</xdr:colOff>
      <xdr:row>14</xdr:row>
      <xdr:rowOff>105507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2E30CC-5235-4A05-9CA0-00ACB5C98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207065</xdr:colOff>
      <xdr:row>18</xdr:row>
      <xdr:rowOff>165652</xdr:rowOff>
    </xdr:from>
    <xdr:to>
      <xdr:col>7</xdr:col>
      <xdr:colOff>301398</xdr:colOff>
      <xdr:row>29</xdr:row>
      <xdr:rowOff>71022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63E866F3-19AC-434F-9924-651669DE7CBD}"/>
            </a:ext>
          </a:extLst>
        </xdr:cNvPr>
        <xdr:cNvSpPr txBox="1"/>
      </xdr:nvSpPr>
      <xdr:spPr>
        <a:xfrm>
          <a:off x="844826" y="3445565"/>
          <a:ext cx="3920898" cy="19097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kern="1200"/>
            <a:t>Double</a:t>
          </a:r>
          <a:r>
            <a:rPr lang="en-GB" sz="1100" kern="1200" baseline="0"/>
            <a:t> exponential smoothing (with damping factor)</a:t>
          </a:r>
        </a:p>
        <a:p>
          <a:r>
            <a:rPr lang="en-GB" sz="1100" kern="1200" baseline="0"/>
            <a:t>- Same mais à chaque fois que b apparait, on lui tape un * phi</a:t>
          </a:r>
        </a:p>
        <a:p>
          <a:endParaRPr lang="en-GB" sz="1100" kern="1200"/>
        </a:p>
        <a:p>
          <a:r>
            <a:rPr lang="en-GB" sz="1100" kern="1200"/>
            <a:t>a(t)</a:t>
          </a:r>
          <a:r>
            <a:rPr lang="en-GB" sz="1100" kern="1200" baseline="0"/>
            <a:t> = alpha * d(t)+ (1-alpha) (a(t-1) + phi * b(t-1))</a:t>
          </a:r>
        </a:p>
        <a:p>
          <a:r>
            <a:rPr lang="en-GB" sz="1100" kern="1200" baseline="0"/>
            <a:t>b(t) = beta *(a(t)-a(t-1)) + (1-beta)* phi * b(t-1)</a:t>
          </a:r>
        </a:p>
        <a:p>
          <a:endParaRPr lang="en-GB" sz="1100" kern="1200" baseline="0"/>
        </a:p>
        <a:p>
          <a:r>
            <a:rPr lang="en-GB" sz="1100" kern="1200" baseline="0"/>
            <a:t>f(t+1) = a(t)+ phi * b(t)</a:t>
          </a:r>
        </a:p>
        <a:p>
          <a:endParaRPr lang="en-GB" sz="1100" kern="1200" baseline="0"/>
        </a:p>
        <a:p>
          <a:r>
            <a:rPr lang="en-GB" sz="1100" kern="1200" baseline="0"/>
            <a:t>Et pour forecast plus loin: (a lambda + loin)</a:t>
          </a:r>
        </a:p>
        <a:p>
          <a:r>
            <a:rPr lang="en-GB" sz="1100" kern="1200" baseline="0"/>
            <a:t>f(t+lambda) = a(t) + b(t) * </a:t>
          </a:r>
          <a:r>
            <a:rPr lang="en-GB" sz="1100" kern="1200" baseline="0">
              <a:solidFill>
                <a:srgbClr val="FF0000"/>
              </a:solidFill>
            </a:rPr>
            <a:t>Somme_i=1 jusque lambda phi^i</a:t>
          </a:r>
          <a:endParaRPr lang="en-GB" sz="1100" kern="1200">
            <a:solidFill>
              <a:srgbClr val="FF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516548</xdr:colOff>
      <xdr:row>3</xdr:row>
      <xdr:rowOff>130420</xdr:rowOff>
    </xdr:from>
    <xdr:to>
      <xdr:col>18</xdr:col>
      <xdr:colOff>256442</xdr:colOff>
      <xdr:row>21</xdr:row>
      <xdr:rowOff>168520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8DCBB-04EE-4F27-9777-FEC286165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331081</xdr:colOff>
      <xdr:row>29</xdr:row>
      <xdr:rowOff>97014</xdr:rowOff>
    </xdr:from>
    <xdr:to>
      <xdr:col>6</xdr:col>
      <xdr:colOff>658408</xdr:colOff>
      <xdr:row>46</xdr:row>
      <xdr:rowOff>61736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6DE243B0-494E-4D30-AE7F-28268CAF62C7}"/>
            </a:ext>
          </a:extLst>
        </xdr:cNvPr>
        <xdr:cNvSpPr txBox="1"/>
      </xdr:nvSpPr>
      <xdr:spPr>
        <a:xfrm>
          <a:off x="966081" y="5520972"/>
          <a:ext cx="3925660" cy="31132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kern="1200"/>
            <a:t>Multiplicative decomposition</a:t>
          </a:r>
          <a:endParaRPr lang="en-GB" sz="1100" kern="1200" baseline="0"/>
        </a:p>
        <a:p>
          <a:r>
            <a:rPr lang="en-GB" sz="1100" kern="1200" baseline="0"/>
            <a:t>- Calcul du a et b similaire au précédents</a:t>
          </a:r>
          <a:endParaRPr lang="en-GB" sz="1100" kern="1200"/>
        </a:p>
        <a:p>
          <a:r>
            <a:rPr lang="en-GB" sz="1100" kern="1200"/>
            <a:t>a(t)</a:t>
          </a:r>
          <a:r>
            <a:rPr lang="en-GB" sz="1100" kern="1200" baseline="0"/>
            <a:t> = alpha * d(t)/s(t-p) + (1-alpha) (a(t-1) + phi * b(t-1))</a:t>
          </a:r>
        </a:p>
        <a:p>
          <a:r>
            <a:rPr lang="en-GB" sz="1100" kern="1200" baseline="0"/>
            <a:t>b(t) = beta *(a(t)-a(t-1)) + (1-beta)* phi * b(t-1)</a:t>
          </a:r>
        </a:p>
        <a:p>
          <a:endParaRPr lang="en-GB" sz="1100" kern="1200" baseline="0"/>
        </a:p>
        <a:p>
          <a:r>
            <a:rPr lang="en-GB" sz="1100" kern="1200" baseline="0"/>
            <a:t>Sauf que pour le forecast, on va multiplier par la saisonalité</a:t>
          </a:r>
        </a:p>
        <a:p>
          <a:r>
            <a:rPr lang="en-GB" sz="1100" kern="1200" baseline="0"/>
            <a:t>f(t+1) = (a(t)+ phi * b(t)) * s(t-p)</a:t>
          </a:r>
        </a:p>
        <a:p>
          <a:endParaRPr lang="en-GB" sz="1100" kern="1200" baseline="0"/>
        </a:p>
        <a:p>
          <a:endParaRPr lang="en-GB" sz="1100" kern="1200" baseline="0"/>
        </a:p>
        <a:p>
          <a:r>
            <a:rPr lang="en-GB" sz="1100" kern="1200" baseline="0"/>
            <a:t>Calcul de la saisonalité initial, si p elements par saison) - pour les p premiers</a:t>
          </a:r>
        </a:p>
        <a:p>
          <a:r>
            <a:rPr lang="en-GB" sz="1100" kern="1200" baseline="0"/>
            <a:t>s(t) = Moyenne(s(t+i*p))/Moyenne(s(t))</a:t>
          </a:r>
        </a:p>
        <a:p>
          <a:endParaRPr lang="en-GB" sz="1100" kern="1200" baseline="0"/>
        </a:p>
        <a:p>
          <a:r>
            <a:rPr lang="en-GB" sz="1100" kern="1200" baseline="0"/>
            <a:t>Saisonalité après ( t &gt; p)</a:t>
          </a:r>
        </a:p>
        <a:p>
          <a:r>
            <a:rPr lang="en-GB" sz="1100" kern="1200" baseline="0"/>
            <a:t>s(t) = gamma * d(t)/a(t) + (1-gamma) * s(t-p)</a:t>
          </a:r>
        </a:p>
        <a:p>
          <a:endParaRPr lang="en-GB" sz="1100" kern="1200" baseline="0"/>
        </a:p>
        <a:p>
          <a:r>
            <a:rPr lang="en-GB" sz="1100" kern="1200" baseline="0"/>
            <a:t>Pattern = (Level + Trend) * seasonality</a:t>
          </a:r>
        </a:p>
      </xdr:txBody>
    </xdr:sp>
    <xdr:clientData/>
  </xdr:twoCellAnchor>
  <xdr:twoCellAnchor editAs="oneCell">
    <xdr:from>
      <xdr:col>7</xdr:col>
      <xdr:colOff>449790</xdr:colOff>
      <xdr:row>27</xdr:row>
      <xdr:rowOff>162436</xdr:rowOff>
    </xdr:from>
    <xdr:to>
      <xdr:col>15</xdr:col>
      <xdr:colOff>417336</xdr:colOff>
      <xdr:row>43</xdr:row>
      <xdr:rowOff>49564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711588E-5C1A-BAEE-CF29-78578086D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62221" y="5215978"/>
          <a:ext cx="5276851" cy="2850461"/>
        </a:xfrm>
        <a:prstGeom prst="rect">
          <a:avLst/>
        </a:prstGeom>
      </xdr:spPr>
    </xdr:pic>
    <xdr:clientData/>
  </xdr:twoCellAnchor>
  <xdr:twoCellAnchor editAs="oneCell">
    <xdr:from>
      <xdr:col>7</xdr:col>
      <xdr:colOff>37262</xdr:colOff>
      <xdr:row>43</xdr:row>
      <xdr:rowOff>56029</xdr:rowOff>
    </xdr:from>
    <xdr:to>
      <xdr:col>16</xdr:col>
      <xdr:colOff>298390</xdr:colOff>
      <xdr:row>59</xdr:row>
      <xdr:rowOff>67540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A9FC05-D228-99D2-6EF7-70C540EF7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98056" y="8314764"/>
          <a:ext cx="5785628" cy="30595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501894</xdr:colOff>
      <xdr:row>3</xdr:row>
      <xdr:rowOff>102577</xdr:rowOff>
    </xdr:from>
    <xdr:to>
      <xdr:col>15</xdr:col>
      <xdr:colOff>197827</xdr:colOff>
      <xdr:row>21</xdr:row>
      <xdr:rowOff>148004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20787B-33A2-4D8D-8F72-8DF9F719C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608269</xdr:colOff>
      <xdr:row>22</xdr:row>
      <xdr:rowOff>90356</xdr:rowOff>
    </xdr:from>
    <xdr:to>
      <xdr:col>11</xdr:col>
      <xdr:colOff>513521</xdr:colOff>
      <xdr:row>42</xdr:row>
      <xdr:rowOff>139079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FB59272B-069C-49A3-9FC3-90CBC4B2C42C}"/>
            </a:ext>
          </a:extLst>
        </xdr:cNvPr>
        <xdr:cNvSpPr txBox="1"/>
      </xdr:nvSpPr>
      <xdr:spPr>
        <a:xfrm>
          <a:off x="4898660" y="4099139"/>
          <a:ext cx="3247285" cy="36930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kern="1200"/>
            <a:t>Additive decomposition</a:t>
          </a:r>
          <a:r>
            <a:rPr lang="en-GB" sz="1100" kern="1200" baseline="0"/>
            <a:t> avec periode p</a:t>
          </a:r>
          <a:endParaRPr lang="en-GB" sz="1100" kern="1200"/>
        </a:p>
        <a:p>
          <a:endParaRPr lang="en-GB" sz="1100" kern="1200" baseline="0"/>
        </a:p>
        <a:p>
          <a:r>
            <a:rPr lang="en-GB" sz="1100" kern="1200" baseline="0"/>
            <a:t>Pour t = 1 -&gt; p:</a:t>
          </a:r>
        </a:p>
        <a:p>
          <a:r>
            <a:rPr lang="en-GB" sz="1100" kern="1200" baseline="0"/>
            <a:t>s(t) = arrondi(moyenne(t+p) - moyenne tot)</a:t>
          </a:r>
        </a:p>
        <a:p>
          <a:endParaRPr lang="en-GB" sz="1100" kern="1200" baseline="0"/>
        </a:p>
        <a:p>
          <a:r>
            <a:rPr lang="en-GB" sz="1100" kern="1200" baseline="0"/>
            <a:t>a(t) = alpha* (d(t)-s(t)) + (1-alpha) * (a(t-1) + b(t-1))</a:t>
          </a:r>
        </a:p>
        <a:p>
          <a:r>
            <a:rPr lang="en-GB" sz="1100" kern="1200" baseline="0"/>
            <a:t>b(t) = beta * (a(t)-a(t-1)) + (1-beta) * b(t-1)</a:t>
          </a:r>
        </a:p>
        <a:p>
          <a:endParaRPr lang="en-GB" sz="1100" kern="1200" baseline="0"/>
        </a:p>
        <a:p>
          <a:r>
            <a:rPr lang="en-GB" sz="1100" kern="1200" baseline="0"/>
            <a:t>Calcul du a et b pour les autres t</a:t>
          </a:r>
          <a:endParaRPr lang="en-GB" sz="1100" kern="1200"/>
        </a:p>
        <a:p>
          <a:r>
            <a:rPr lang="en-GB" sz="1100" kern="1200"/>
            <a:t>a(t)</a:t>
          </a:r>
          <a:r>
            <a:rPr lang="en-GB" sz="1100" kern="1200" baseline="0"/>
            <a:t> = alpha * (d(t)-s(t-p)) + (1-alpha) * (a(t-1)+b(t-1))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b(t) = beta * (a(t)-a(t-1)) + (1-beta) * b(t-1)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s(t) = gamma * (d(t)-a(t)) + (1-gamma) * s(t-p)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à la fin: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s(t) = s(t-p)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a(t+1) = a(t)+b(t)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b(t+1) = b(t)</a:t>
          </a:r>
          <a:endParaRPr lang="en-GB">
            <a:effectLst/>
          </a:endParaRPr>
        </a:p>
        <a:p>
          <a:endParaRPr lang="en-GB" sz="1100" kern="1200" baseline="0"/>
        </a:p>
        <a:p>
          <a:r>
            <a:rPr lang="en-GB" sz="1100" kern="1200" baseline="0"/>
            <a:t>Forecast</a:t>
          </a:r>
        </a:p>
        <a:p>
          <a:r>
            <a:rPr lang="en-GB" sz="1100" kern="1200" baseline="0"/>
            <a:t>f(t) = a(t-1) + b(t-1) + s(t-p)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801220</xdr:colOff>
      <xdr:row>19</xdr:row>
      <xdr:rowOff>197719</xdr:rowOff>
    </xdr:from>
    <xdr:to>
      <xdr:col>7</xdr:col>
      <xdr:colOff>531157</xdr:colOff>
      <xdr:row>35</xdr:row>
      <xdr:rowOff>113180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52A9D86-497E-BBAA-71CD-21B20803B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49" y="4596028"/>
          <a:ext cx="6005232" cy="290743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129490</xdr:colOff>
      <xdr:row>13</xdr:row>
      <xdr:rowOff>169334</xdr:rowOff>
    </xdr:from>
    <xdr:to>
      <xdr:col>7</xdr:col>
      <xdr:colOff>541867</xdr:colOff>
      <xdr:row>37</xdr:row>
      <xdr:rowOff>181285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39A4EF-2CDF-FD49-A1B1-FDA39C3FC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575732</xdr:colOff>
      <xdr:row>13</xdr:row>
      <xdr:rowOff>169333</xdr:rowOff>
    </xdr:from>
    <xdr:to>
      <xdr:col>15</xdr:col>
      <xdr:colOff>16933</xdr:colOff>
      <xdr:row>38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F1B827-F782-7049-B0A2-6BC4F7E41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78828</xdr:colOff>
      <xdr:row>4</xdr:row>
      <xdr:rowOff>43793</xdr:rowOff>
    </xdr:from>
    <xdr:to>
      <xdr:col>15</xdr:col>
      <xdr:colOff>324070</xdr:colOff>
      <xdr:row>20</xdr:row>
      <xdr:rowOff>70068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583344-3FA9-064A-9802-D4982F040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%20in%20Microsoft%20PowerPoin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as\Dropbox\Cours\Forecast\2018\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ive"/>
      <sheetName val="Moving Average"/>
      <sheetName val="Smoothing"/>
      <sheetName val="Smoothing &amp; Trend"/>
      <sheetName val="Holt Winters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ive"/>
      <sheetName val="Moving Average"/>
      <sheetName val="Smoothing"/>
      <sheetName val="Smoothing &amp; Trend"/>
      <sheetName val="Smoothing &amp; Damped Trend"/>
      <sheetName val="Overfit"/>
      <sheetName val="Holt-Winters"/>
      <sheetName val="Single Linear Regression"/>
      <sheetName val="Multiple Linear Regres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37DE-CE02-4F49-942E-CEDCE6CF2B1E}">
  <dimension ref="A1:Q28"/>
  <sheetViews>
    <sheetView showGridLines="0" zoomScaleNormal="100" workbookViewId="0">
      <selection activeCell="D28" sqref="D28"/>
    </sheetView>
  </sheetViews>
  <sheetFormatPr baseColWidth="10" defaultColWidth="8.86328125" defaultRowHeight="14.25" x14ac:dyDescent="0.45"/>
  <sheetData>
    <row r="1" spans="1:3" x14ac:dyDescent="0.45">
      <c r="A1" s="52" t="s">
        <v>0</v>
      </c>
      <c r="B1" s="52" t="s">
        <v>1</v>
      </c>
      <c r="C1" s="52" t="s">
        <v>2</v>
      </c>
    </row>
    <row r="2" spans="1:3" x14ac:dyDescent="0.45">
      <c r="A2" s="15">
        <v>1</v>
      </c>
      <c r="B2" s="53">
        <v>37</v>
      </c>
      <c r="C2" s="53"/>
    </row>
    <row r="3" spans="1:3" x14ac:dyDescent="0.45">
      <c r="A3" s="15">
        <v>2</v>
      </c>
      <c r="B3" s="53">
        <v>60</v>
      </c>
      <c r="C3" s="53">
        <f>B2</f>
        <v>37</v>
      </c>
    </row>
    <row r="4" spans="1:3" x14ac:dyDescent="0.45">
      <c r="A4" s="15">
        <v>3</v>
      </c>
      <c r="B4" s="53">
        <v>85</v>
      </c>
      <c r="C4" s="53">
        <f t="shared" ref="C4:C12" si="0">B3</f>
        <v>60</v>
      </c>
    </row>
    <row r="5" spans="1:3" x14ac:dyDescent="0.45">
      <c r="A5" s="15">
        <v>4</v>
      </c>
      <c r="B5" s="53">
        <v>112</v>
      </c>
      <c r="C5" s="53">
        <f t="shared" si="0"/>
        <v>85</v>
      </c>
    </row>
    <row r="6" spans="1:3" x14ac:dyDescent="0.45">
      <c r="A6" s="15">
        <v>5</v>
      </c>
      <c r="B6" s="53">
        <v>132</v>
      </c>
      <c r="C6" s="53">
        <f t="shared" si="0"/>
        <v>112</v>
      </c>
    </row>
    <row r="7" spans="1:3" x14ac:dyDescent="0.45">
      <c r="A7" s="15">
        <v>6</v>
      </c>
      <c r="B7" s="53">
        <v>145</v>
      </c>
      <c r="C7" s="53">
        <f t="shared" si="0"/>
        <v>132</v>
      </c>
    </row>
    <row r="8" spans="1:3" x14ac:dyDescent="0.45">
      <c r="A8" s="15">
        <v>7</v>
      </c>
      <c r="B8" s="53">
        <v>179</v>
      </c>
      <c r="C8" s="53">
        <f t="shared" si="0"/>
        <v>145</v>
      </c>
    </row>
    <row r="9" spans="1:3" x14ac:dyDescent="0.45">
      <c r="A9" s="15">
        <v>8</v>
      </c>
      <c r="B9" s="53">
        <v>198</v>
      </c>
      <c r="C9" s="53">
        <f t="shared" si="0"/>
        <v>179</v>
      </c>
    </row>
    <row r="10" spans="1:3" x14ac:dyDescent="0.45">
      <c r="A10" s="15">
        <v>9</v>
      </c>
      <c r="B10" s="53">
        <v>212</v>
      </c>
      <c r="C10" s="53">
        <f t="shared" si="0"/>
        <v>198</v>
      </c>
    </row>
    <row r="11" spans="1:3" x14ac:dyDescent="0.45">
      <c r="A11" s="15">
        <v>10</v>
      </c>
      <c r="B11" s="53">
        <v>232</v>
      </c>
      <c r="C11" s="53">
        <f t="shared" si="0"/>
        <v>212</v>
      </c>
    </row>
    <row r="12" spans="1:3" x14ac:dyDescent="0.45">
      <c r="A12" s="15">
        <v>11</v>
      </c>
      <c r="B12" s="15"/>
      <c r="C12" s="53">
        <f t="shared" si="0"/>
        <v>232</v>
      </c>
    </row>
    <row r="13" spans="1:3" x14ac:dyDescent="0.45">
      <c r="A13" s="15">
        <v>12</v>
      </c>
      <c r="B13" s="15"/>
      <c r="C13" s="53">
        <f>C12</f>
        <v>232</v>
      </c>
    </row>
    <row r="14" spans="1:3" x14ac:dyDescent="0.45">
      <c r="A14" s="15">
        <v>13</v>
      </c>
      <c r="B14" s="15"/>
      <c r="C14" s="53">
        <f>C13</f>
        <v>232</v>
      </c>
    </row>
    <row r="19" spans="17:17" x14ac:dyDescent="0.45">
      <c r="Q19">
        <v>46</v>
      </c>
    </row>
    <row r="20" spans="17:17" x14ac:dyDescent="0.45">
      <c r="Q20">
        <v>49</v>
      </c>
    </row>
    <row r="21" spans="17:17" x14ac:dyDescent="0.45">
      <c r="Q21">
        <v>46</v>
      </c>
    </row>
    <row r="22" spans="17:17" x14ac:dyDescent="0.45">
      <c r="Q22">
        <v>42</v>
      </c>
    </row>
    <row r="23" spans="17:17" x14ac:dyDescent="0.45">
      <c r="Q23">
        <v>48</v>
      </c>
    </row>
    <row r="24" spans="17:17" x14ac:dyDescent="0.45">
      <c r="Q24">
        <v>42</v>
      </c>
    </row>
    <row r="25" spans="17:17" x14ac:dyDescent="0.45">
      <c r="Q25">
        <v>43</v>
      </c>
    </row>
    <row r="26" spans="17:17" x14ac:dyDescent="0.45">
      <c r="Q26">
        <v>50</v>
      </c>
    </row>
    <row r="27" spans="17:17" x14ac:dyDescent="0.45">
      <c r="Q27">
        <v>43</v>
      </c>
    </row>
    <row r="28" spans="17:17" x14ac:dyDescent="0.45">
      <c r="Q28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showGridLines="0" zoomScaleNormal="100" workbookViewId="0">
      <selection activeCell="C5" sqref="C5"/>
    </sheetView>
  </sheetViews>
  <sheetFormatPr baseColWidth="10" defaultColWidth="8.86328125" defaultRowHeight="14.25" x14ac:dyDescent="0.45"/>
  <cols>
    <col min="1" max="1" width="11.1328125" customWidth="1"/>
    <col min="2" max="2" width="9.3984375" customWidth="1"/>
    <col min="3" max="5" width="11.73046875" bestFit="1" customWidth="1"/>
  </cols>
  <sheetData>
    <row r="1" spans="1:7" x14ac:dyDescent="0.45">
      <c r="A1" s="52" t="s">
        <v>0</v>
      </c>
      <c r="B1" s="52" t="s">
        <v>1</v>
      </c>
      <c r="C1" s="52" t="s">
        <v>3</v>
      </c>
      <c r="D1" s="52" t="s">
        <v>4</v>
      </c>
      <c r="E1" s="52" t="s">
        <v>5</v>
      </c>
      <c r="G1" s="14" t="s">
        <v>6</v>
      </c>
    </row>
    <row r="2" spans="1:7" ht="18.75" customHeight="1" x14ac:dyDescent="0.45">
      <c r="A2" s="15">
        <v>1</v>
      </c>
      <c r="B2" s="53">
        <v>37</v>
      </c>
      <c r="C2" s="53"/>
      <c r="D2" s="53"/>
      <c r="E2" s="112"/>
    </row>
    <row r="3" spans="1:7" ht="18.75" customHeight="1" x14ac:dyDescent="0.45">
      <c r="A3" s="15">
        <v>2</v>
      </c>
      <c r="B3" s="53">
        <v>60</v>
      </c>
      <c r="C3" s="53"/>
      <c r="D3" s="53"/>
      <c r="E3" s="112"/>
    </row>
    <row r="4" spans="1:7" ht="18.75" customHeight="1" x14ac:dyDescent="0.45">
      <c r="A4" s="15">
        <v>3</v>
      </c>
      <c r="B4" s="53">
        <v>85</v>
      </c>
      <c r="C4" s="53"/>
      <c r="D4" s="53">
        <f>AVERAGE(B2:B3)</f>
        <v>48.5</v>
      </c>
      <c r="E4" s="112"/>
    </row>
    <row r="5" spans="1:7" ht="18.75" customHeight="1" x14ac:dyDescent="0.45">
      <c r="A5" s="15">
        <v>4</v>
      </c>
      <c r="B5" s="53">
        <v>112</v>
      </c>
      <c r="C5" s="53">
        <f>AVERAGE(B2:B4)</f>
        <v>60.666666666666664</v>
      </c>
      <c r="D5" s="53">
        <f t="shared" ref="D5:D11" si="0">AVERAGE(B3:B4)</f>
        <v>72.5</v>
      </c>
      <c r="E5" s="112"/>
      <c r="G5" s="72"/>
    </row>
    <row r="6" spans="1:7" ht="18.75" customHeight="1" x14ac:dyDescent="0.45">
      <c r="A6" s="15">
        <v>5</v>
      </c>
      <c r="B6" s="53">
        <v>132</v>
      </c>
      <c r="C6" s="53">
        <f t="shared" ref="C6:C12" si="1">AVERAGE(B3:B5)</f>
        <v>85.666666666666671</v>
      </c>
      <c r="D6" s="53">
        <f t="shared" si="0"/>
        <v>98.5</v>
      </c>
      <c r="E6" s="112"/>
    </row>
    <row r="7" spans="1:7" ht="18.75" customHeight="1" x14ac:dyDescent="0.45">
      <c r="A7" s="15">
        <v>6</v>
      </c>
      <c r="B7" s="53">
        <v>145</v>
      </c>
      <c r="C7" s="53">
        <f t="shared" si="1"/>
        <v>109.66666666666667</v>
      </c>
      <c r="D7" s="53">
        <f t="shared" si="0"/>
        <v>122</v>
      </c>
      <c r="E7" s="112">
        <f>AVERAGE(B2:B6)</f>
        <v>85.2</v>
      </c>
    </row>
    <row r="8" spans="1:7" ht="18.75" customHeight="1" x14ac:dyDescent="0.45">
      <c r="A8" s="15">
        <v>7</v>
      </c>
      <c r="B8" s="53">
        <v>179</v>
      </c>
      <c r="C8" s="53">
        <f t="shared" si="1"/>
        <v>129.66666666666666</v>
      </c>
      <c r="D8" s="53">
        <f t="shared" si="0"/>
        <v>138.5</v>
      </c>
      <c r="E8" s="112">
        <f t="shared" ref="E8:E12" si="2">AVERAGE(B3:B7)</f>
        <v>106.8</v>
      </c>
    </row>
    <row r="9" spans="1:7" ht="18.75" customHeight="1" x14ac:dyDescent="0.45">
      <c r="A9" s="15">
        <v>8</v>
      </c>
      <c r="B9" s="53">
        <v>198</v>
      </c>
      <c r="C9" s="53">
        <f t="shared" si="1"/>
        <v>152</v>
      </c>
      <c r="D9" s="53">
        <f t="shared" si="0"/>
        <v>162</v>
      </c>
      <c r="E9" s="112">
        <f t="shared" si="2"/>
        <v>130.6</v>
      </c>
    </row>
    <row r="10" spans="1:7" ht="18.75" customHeight="1" x14ac:dyDescent="0.45">
      <c r="A10" s="15">
        <v>9</v>
      </c>
      <c r="B10" s="53">
        <v>212</v>
      </c>
      <c r="C10" s="53">
        <f t="shared" si="1"/>
        <v>174</v>
      </c>
      <c r="D10" s="53">
        <f t="shared" si="0"/>
        <v>188.5</v>
      </c>
      <c r="E10" s="112">
        <f t="shared" si="2"/>
        <v>153.19999999999999</v>
      </c>
    </row>
    <row r="11" spans="1:7" ht="18.75" customHeight="1" x14ac:dyDescent="0.45">
      <c r="A11" s="15">
        <v>10</v>
      </c>
      <c r="B11" s="53">
        <v>232</v>
      </c>
      <c r="C11" s="53">
        <f t="shared" si="1"/>
        <v>196.33333333333334</v>
      </c>
      <c r="D11" s="53">
        <f t="shared" si="0"/>
        <v>205</v>
      </c>
      <c r="E11" s="112">
        <f t="shared" si="2"/>
        <v>173.2</v>
      </c>
    </row>
    <row r="12" spans="1:7" ht="18.75" customHeight="1" x14ac:dyDescent="0.45">
      <c r="A12" s="15">
        <v>11</v>
      </c>
      <c r="B12" s="15"/>
      <c r="C12" s="53">
        <f t="shared" si="1"/>
        <v>214</v>
      </c>
      <c r="D12" s="53">
        <f>AVERAGE(B10:B11)</f>
        <v>222</v>
      </c>
      <c r="E12" s="112">
        <f t="shared" si="2"/>
        <v>193.2</v>
      </c>
    </row>
    <row r="13" spans="1:7" ht="18.75" customHeight="1" x14ac:dyDescent="0.45">
      <c r="A13" s="15">
        <v>12</v>
      </c>
      <c r="B13" s="15"/>
      <c r="C13" s="120">
        <f t="shared" ref="C13:E14" si="3">C12</f>
        <v>214</v>
      </c>
      <c r="D13" s="53">
        <f t="shared" si="3"/>
        <v>222</v>
      </c>
      <c r="E13" s="53">
        <f t="shared" si="3"/>
        <v>193.2</v>
      </c>
    </row>
    <row r="14" spans="1:7" ht="18.75" customHeight="1" x14ac:dyDescent="0.45">
      <c r="A14" s="15">
        <v>13</v>
      </c>
      <c r="B14" s="15"/>
      <c r="C14" s="120">
        <f t="shared" si="3"/>
        <v>214</v>
      </c>
      <c r="D14" s="53">
        <f t="shared" si="3"/>
        <v>222</v>
      </c>
      <c r="E14" s="53">
        <f t="shared" si="3"/>
        <v>193.2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D312-2BE2-9B4D-9886-4523BCC91604}">
  <dimension ref="A1:H16"/>
  <sheetViews>
    <sheetView showGridLines="0" zoomScaleNormal="100" workbookViewId="0">
      <selection activeCell="B25" sqref="B25"/>
    </sheetView>
  </sheetViews>
  <sheetFormatPr baseColWidth="10" defaultColWidth="8.86328125" defaultRowHeight="14.25" x14ac:dyDescent="0.45"/>
  <cols>
    <col min="1" max="1" width="11.1328125" customWidth="1"/>
    <col min="2" max="2" width="9.3984375" customWidth="1"/>
    <col min="3" max="5" width="11.73046875" bestFit="1" customWidth="1"/>
  </cols>
  <sheetData>
    <row r="1" spans="1:8" x14ac:dyDescent="0.45">
      <c r="A1" s="52" t="s">
        <v>0</v>
      </c>
      <c r="B1" s="52" t="s">
        <v>1</v>
      </c>
      <c r="C1" s="52" t="s">
        <v>3</v>
      </c>
      <c r="D1" s="52" t="s">
        <v>4</v>
      </c>
      <c r="E1" s="52" t="s">
        <v>5</v>
      </c>
      <c r="F1" s="113" t="s">
        <v>7</v>
      </c>
      <c r="G1" s="113" t="s">
        <v>7</v>
      </c>
      <c r="H1" s="113" t="s">
        <v>7</v>
      </c>
    </row>
    <row r="2" spans="1:8" ht="18.75" customHeight="1" x14ac:dyDescent="0.45">
      <c r="A2" s="15">
        <v>1</v>
      </c>
      <c r="B2" s="53">
        <v>133</v>
      </c>
      <c r="C2" s="53"/>
      <c r="D2" s="53"/>
      <c r="E2" s="112"/>
      <c r="F2" s="112"/>
      <c r="G2" s="112"/>
      <c r="H2" s="112"/>
    </row>
    <row r="3" spans="1:8" ht="18.75" customHeight="1" x14ac:dyDescent="0.45">
      <c r="A3" s="15">
        <v>2</v>
      </c>
      <c r="B3" s="53">
        <v>135</v>
      </c>
      <c r="C3" s="53"/>
      <c r="D3" s="53"/>
      <c r="E3" s="112"/>
      <c r="F3" s="112"/>
      <c r="G3" s="112"/>
      <c r="H3" s="112"/>
    </row>
    <row r="4" spans="1:8" ht="18.75" customHeight="1" x14ac:dyDescent="0.45">
      <c r="A4" s="15">
        <v>3</v>
      </c>
      <c r="B4" s="53">
        <v>125</v>
      </c>
      <c r="C4" s="53"/>
      <c r="D4" s="53">
        <f>AVERAGE(B2:B3)</f>
        <v>134</v>
      </c>
      <c r="E4" s="112"/>
      <c r="F4" s="112"/>
      <c r="G4" s="112">
        <f>ABS($B4-D4)</f>
        <v>9</v>
      </c>
      <c r="H4" s="112"/>
    </row>
    <row r="5" spans="1:8" ht="18.75" customHeight="1" x14ac:dyDescent="0.45">
      <c r="A5" s="15">
        <v>4</v>
      </c>
      <c r="B5" s="53">
        <v>128</v>
      </c>
      <c r="C5" s="53">
        <f>AVERAGE(B2:B4)</f>
        <v>131</v>
      </c>
      <c r="D5" s="53">
        <f t="shared" ref="D5:D12" si="0">AVERAGE(B3:B4)</f>
        <v>130</v>
      </c>
      <c r="E5" s="112"/>
      <c r="F5" s="112">
        <f>ABS($B5-C5)</f>
        <v>3</v>
      </c>
      <c r="G5" s="112">
        <f t="shared" ref="G5:G11" si="1">ABS($B5-D5)</f>
        <v>2</v>
      </c>
      <c r="H5" s="112"/>
    </row>
    <row r="6" spans="1:8" ht="18.75" customHeight="1" x14ac:dyDescent="0.45">
      <c r="A6" s="15">
        <v>5</v>
      </c>
      <c r="B6" s="53">
        <v>132</v>
      </c>
      <c r="C6" s="53">
        <f>AVERAGE(B3:B5)</f>
        <v>129.33333333333334</v>
      </c>
      <c r="D6" s="53">
        <f t="shared" si="0"/>
        <v>126.5</v>
      </c>
      <c r="E6" s="112"/>
      <c r="F6" s="112">
        <f t="shared" ref="F6:F11" si="2">ABS($B6-C6)</f>
        <v>2.6666666666666572</v>
      </c>
      <c r="G6" s="112">
        <f t="shared" si="1"/>
        <v>5.5</v>
      </c>
      <c r="H6" s="112"/>
    </row>
    <row r="7" spans="1:8" ht="18.75" customHeight="1" x14ac:dyDescent="0.45">
      <c r="A7" s="15">
        <v>6</v>
      </c>
      <c r="B7" s="53">
        <v>127</v>
      </c>
      <c r="C7" s="53">
        <f>AVERAGE(B4:B6)</f>
        <v>128.33333333333334</v>
      </c>
      <c r="D7" s="53">
        <f t="shared" si="0"/>
        <v>130</v>
      </c>
      <c r="E7" s="112">
        <f>AVERAGE(B2:B6)</f>
        <v>130.6</v>
      </c>
      <c r="F7" s="112">
        <f t="shared" si="2"/>
        <v>1.3333333333333428</v>
      </c>
      <c r="G7" s="112">
        <f t="shared" si="1"/>
        <v>3</v>
      </c>
      <c r="H7" s="112">
        <f>ABS($B7-E7)</f>
        <v>3.5999999999999943</v>
      </c>
    </row>
    <row r="8" spans="1:8" ht="18.75" customHeight="1" x14ac:dyDescent="0.45">
      <c r="A8" s="15">
        <v>7</v>
      </c>
      <c r="B8" s="53">
        <v>125</v>
      </c>
      <c r="C8" s="53">
        <f>AVERAGE(B5:B7)</f>
        <v>129</v>
      </c>
      <c r="D8" s="53">
        <f t="shared" si="0"/>
        <v>129.5</v>
      </c>
      <c r="E8" s="112">
        <f t="shared" ref="E8:E12" si="3">AVERAGE(B3:B7)</f>
        <v>129.4</v>
      </c>
      <c r="F8" s="112">
        <f t="shared" si="2"/>
        <v>4</v>
      </c>
      <c r="G8" s="112">
        <f t="shared" si="1"/>
        <v>4.5</v>
      </c>
      <c r="H8" s="112">
        <f t="shared" ref="H8:H11" si="4">ABS($B8-E8)</f>
        <v>4.4000000000000057</v>
      </c>
    </row>
    <row r="9" spans="1:8" ht="18.75" customHeight="1" x14ac:dyDescent="0.45">
      <c r="A9" s="15">
        <v>8</v>
      </c>
      <c r="B9" s="53">
        <v>128</v>
      </c>
      <c r="C9" s="53">
        <f t="shared" ref="C9:C11" si="5">AVERAGE(B6:B8)</f>
        <v>128</v>
      </c>
      <c r="D9" s="53">
        <f t="shared" si="0"/>
        <v>126</v>
      </c>
      <c r="E9" s="112">
        <f t="shared" si="3"/>
        <v>127.4</v>
      </c>
      <c r="F9" s="112">
        <f>ABS($B9-C9)</f>
        <v>0</v>
      </c>
      <c r="G9" s="112">
        <f t="shared" si="1"/>
        <v>2</v>
      </c>
      <c r="H9" s="112">
        <f t="shared" si="4"/>
        <v>0.59999999999999432</v>
      </c>
    </row>
    <row r="10" spans="1:8" ht="18.75" customHeight="1" x14ac:dyDescent="0.45">
      <c r="A10" s="15">
        <v>9</v>
      </c>
      <c r="B10" s="53">
        <v>134</v>
      </c>
      <c r="C10" s="53">
        <f t="shared" si="5"/>
        <v>126.66666666666667</v>
      </c>
      <c r="D10" s="53">
        <f t="shared" si="0"/>
        <v>126.5</v>
      </c>
      <c r="E10" s="112">
        <f t="shared" si="3"/>
        <v>128</v>
      </c>
      <c r="F10" s="112">
        <f t="shared" si="2"/>
        <v>7.3333333333333286</v>
      </c>
      <c r="G10" s="112">
        <f t="shared" si="1"/>
        <v>7.5</v>
      </c>
      <c r="H10" s="112">
        <f t="shared" si="4"/>
        <v>6</v>
      </c>
    </row>
    <row r="11" spans="1:8" ht="18.75" customHeight="1" x14ac:dyDescent="0.45">
      <c r="A11" s="15">
        <v>10</v>
      </c>
      <c r="B11" s="53">
        <v>126</v>
      </c>
      <c r="C11" s="53">
        <f t="shared" si="5"/>
        <v>129</v>
      </c>
      <c r="D11" s="53">
        <f t="shared" si="0"/>
        <v>131</v>
      </c>
      <c r="E11" s="112">
        <f t="shared" si="3"/>
        <v>129.19999999999999</v>
      </c>
      <c r="F11" s="112">
        <f t="shared" si="2"/>
        <v>3</v>
      </c>
      <c r="G11" s="112">
        <f t="shared" si="1"/>
        <v>5</v>
      </c>
      <c r="H11" s="112">
        <f t="shared" si="4"/>
        <v>3.1999999999999886</v>
      </c>
    </row>
    <row r="12" spans="1:8" ht="18.75" customHeight="1" x14ac:dyDescent="0.45">
      <c r="A12" s="15">
        <v>11</v>
      </c>
      <c r="B12" s="15"/>
      <c r="C12" s="120">
        <f>AVERAGE(B9:B11)</f>
        <v>129.33333333333334</v>
      </c>
      <c r="D12" s="53">
        <f t="shared" si="0"/>
        <v>130</v>
      </c>
      <c r="E12" s="112">
        <f t="shared" si="3"/>
        <v>128</v>
      </c>
      <c r="F12" s="112"/>
      <c r="G12" s="112"/>
      <c r="H12" s="112"/>
    </row>
    <row r="13" spans="1:8" ht="18.75" customHeight="1" x14ac:dyDescent="0.45">
      <c r="A13" s="15">
        <v>12</v>
      </c>
      <c r="B13" s="15"/>
      <c r="C13" s="120">
        <f t="shared" ref="C13:E14" si="6">C12</f>
        <v>129.33333333333334</v>
      </c>
      <c r="D13" s="53">
        <f t="shared" si="6"/>
        <v>130</v>
      </c>
      <c r="E13" s="53">
        <f t="shared" si="6"/>
        <v>128</v>
      </c>
      <c r="F13" s="53"/>
      <c r="G13" s="53"/>
      <c r="H13" s="53"/>
    </row>
    <row r="14" spans="1:8" ht="18.75" customHeight="1" x14ac:dyDescent="0.45">
      <c r="A14" s="15">
        <v>13</v>
      </c>
      <c r="B14" s="15"/>
      <c r="C14" s="120">
        <f t="shared" si="6"/>
        <v>129.33333333333334</v>
      </c>
      <c r="D14" s="53">
        <f t="shared" si="6"/>
        <v>130</v>
      </c>
      <c r="E14" s="53">
        <f t="shared" si="6"/>
        <v>128</v>
      </c>
      <c r="F14" s="53"/>
      <c r="G14" s="53"/>
      <c r="H14" s="53"/>
    </row>
    <row r="15" spans="1:8" x14ac:dyDescent="0.45">
      <c r="F15" s="115">
        <f>AVERAGE(F4:F14)</f>
        <v>3.047619047619047</v>
      </c>
      <c r="G15" s="114">
        <f>AVERAGE(G4:G14)</f>
        <v>4.8125</v>
      </c>
      <c r="H15" s="114">
        <f>AVERAGE(H7:H14)</f>
        <v>3.5599999999999965</v>
      </c>
    </row>
    <row r="16" spans="1:8" x14ac:dyDescent="0.45">
      <c r="F16" s="174" t="s">
        <v>8</v>
      </c>
      <c r="G16" s="174"/>
      <c r="H16" s="174"/>
    </row>
  </sheetData>
  <mergeCells count="1">
    <mergeCell ref="F16:H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BF5C-6828-434A-8CCD-CE2E5A08C4DE}">
  <dimension ref="B2:L23"/>
  <sheetViews>
    <sheetView showGridLines="0" zoomScale="85" zoomScaleNormal="85" workbookViewId="0">
      <selection activeCell="I15" sqref="I15"/>
    </sheetView>
  </sheetViews>
  <sheetFormatPr baseColWidth="10" defaultColWidth="8.86328125" defaultRowHeight="14.25" x14ac:dyDescent="0.45"/>
  <cols>
    <col min="2" max="12" width="18.265625" customWidth="1"/>
  </cols>
  <sheetData>
    <row r="2" spans="2:12" ht="25.5" x14ac:dyDescent="0.45">
      <c r="B2" s="10"/>
      <c r="C2" s="175" t="s">
        <v>9</v>
      </c>
      <c r="D2" s="176"/>
      <c r="E2" s="176"/>
      <c r="F2" s="176"/>
      <c r="G2" s="177"/>
      <c r="H2" s="175" t="s">
        <v>10</v>
      </c>
      <c r="I2" s="176"/>
      <c r="J2" s="176"/>
      <c r="K2" s="176"/>
      <c r="L2" s="177"/>
    </row>
    <row r="3" spans="2:12" ht="25.9" thickBot="1" x14ac:dyDescent="0.5">
      <c r="B3" s="11" t="s">
        <v>11</v>
      </c>
      <c r="C3" s="12" t="s">
        <v>12</v>
      </c>
      <c r="D3" s="13" t="s">
        <v>13</v>
      </c>
      <c r="E3" s="13" t="s">
        <v>6</v>
      </c>
      <c r="F3" s="13" t="s">
        <v>14</v>
      </c>
      <c r="G3" s="11" t="s">
        <v>15</v>
      </c>
      <c r="H3" s="12" t="s">
        <v>16</v>
      </c>
      <c r="I3" s="13" t="s">
        <v>17</v>
      </c>
      <c r="J3" s="13" t="s">
        <v>18</v>
      </c>
      <c r="K3" s="13" t="s">
        <v>19</v>
      </c>
      <c r="L3" s="11" t="s">
        <v>20</v>
      </c>
    </row>
    <row r="4" spans="2:12" ht="25.9" thickTop="1" x14ac:dyDescent="0.45">
      <c r="B4" s="9" t="s">
        <v>21</v>
      </c>
      <c r="C4" s="8">
        <v>0.2</v>
      </c>
      <c r="D4" s="8">
        <v>0.25</v>
      </c>
      <c r="E4" s="8">
        <v>0.33</v>
      </c>
      <c r="F4" s="8">
        <v>0.5</v>
      </c>
      <c r="G4" s="9">
        <v>1</v>
      </c>
      <c r="H4" s="8">
        <v>0.2</v>
      </c>
      <c r="I4" s="8">
        <v>0.4</v>
      </c>
      <c r="J4" s="8">
        <v>0.6</v>
      </c>
      <c r="K4" s="8">
        <v>0.8</v>
      </c>
      <c r="L4" s="9">
        <v>1</v>
      </c>
    </row>
    <row r="5" spans="2:12" ht="25.5" x14ac:dyDescent="0.45">
      <c r="B5" s="10" t="s">
        <v>22</v>
      </c>
      <c r="C5" s="8">
        <v>0.2</v>
      </c>
      <c r="D5" s="8">
        <v>0.25</v>
      </c>
      <c r="E5" s="8">
        <v>0.33</v>
      </c>
      <c r="F5" s="8">
        <v>0.5</v>
      </c>
      <c r="G5" s="10"/>
      <c r="H5" s="8">
        <v>0.16</v>
      </c>
      <c r="I5" s="8">
        <v>0.24</v>
      </c>
      <c r="J5" s="8">
        <v>0.24</v>
      </c>
      <c r="K5" s="8">
        <v>0.16</v>
      </c>
      <c r="L5" s="10"/>
    </row>
    <row r="6" spans="2:12" ht="25.5" x14ac:dyDescent="0.45">
      <c r="B6" s="10" t="s">
        <v>23</v>
      </c>
      <c r="C6" s="8">
        <v>0.2</v>
      </c>
      <c r="D6" s="8">
        <v>0.25</v>
      </c>
      <c r="E6" s="8">
        <v>0.33</v>
      </c>
      <c r="F6" s="8"/>
      <c r="G6" s="10"/>
      <c r="H6" s="8">
        <v>0.13</v>
      </c>
      <c r="I6" s="8">
        <v>0.14000000000000001</v>
      </c>
      <c r="J6" s="8">
        <v>0.1</v>
      </c>
      <c r="K6" s="8">
        <v>0.03</v>
      </c>
      <c r="L6" s="10"/>
    </row>
    <row r="7" spans="2:12" ht="25.5" x14ac:dyDescent="0.45">
      <c r="B7" s="10" t="s">
        <v>24</v>
      </c>
      <c r="C7" s="8">
        <v>0.2</v>
      </c>
      <c r="D7" s="8">
        <v>0.25</v>
      </c>
      <c r="E7" s="8"/>
      <c r="F7" s="8"/>
      <c r="G7" s="10"/>
      <c r="H7" s="8">
        <v>0.1</v>
      </c>
      <c r="I7" s="8">
        <v>0.09</v>
      </c>
      <c r="J7" s="8">
        <v>0.04</v>
      </c>
      <c r="K7" s="8">
        <v>0.01</v>
      </c>
      <c r="L7" s="10"/>
    </row>
    <row r="8" spans="2:12" ht="25.5" x14ac:dyDescent="0.45">
      <c r="B8" s="10" t="s">
        <v>25</v>
      </c>
      <c r="C8" s="8">
        <v>0.2</v>
      </c>
      <c r="D8" s="8"/>
      <c r="E8" s="8"/>
      <c r="F8" s="8"/>
      <c r="G8" s="10"/>
      <c r="H8" s="8">
        <v>0.08</v>
      </c>
      <c r="I8" s="8">
        <v>0.05</v>
      </c>
      <c r="J8" s="8">
        <v>0.02</v>
      </c>
      <c r="K8" s="8"/>
      <c r="L8" s="10"/>
    </row>
    <row r="13" spans="2:12" ht="25.5" x14ac:dyDescent="0.45">
      <c r="F13" s="178"/>
      <c r="G13" s="178"/>
      <c r="H13" s="179">
        <v>0.2</v>
      </c>
      <c r="I13" s="8">
        <v>0.4</v>
      </c>
      <c r="J13" s="8">
        <v>0.6</v>
      </c>
      <c r="K13" s="8">
        <v>0.8</v>
      </c>
      <c r="L13" s="8">
        <v>1</v>
      </c>
    </row>
    <row r="14" spans="2:12" ht="25.5" x14ac:dyDescent="0.75">
      <c r="F14" s="178"/>
      <c r="G14" s="178">
        <v>0</v>
      </c>
      <c r="H14" s="180">
        <f>((1-H$13)^$G14)*H$13</f>
        <v>0.2</v>
      </c>
      <c r="I14" s="143">
        <f t="shared" ref="I14:K14" si="0">((1-I$13)^$G14)*I$13</f>
        <v>0.4</v>
      </c>
      <c r="J14" s="143">
        <f t="shared" si="0"/>
        <v>0.6</v>
      </c>
      <c r="K14" s="143">
        <f t="shared" si="0"/>
        <v>0.8</v>
      </c>
      <c r="L14" s="143">
        <v>1</v>
      </c>
    </row>
    <row r="15" spans="2:12" ht="25.5" x14ac:dyDescent="0.75">
      <c r="F15" s="178"/>
      <c r="G15" s="178">
        <v>1</v>
      </c>
      <c r="H15" s="180">
        <f t="shared" ref="H15:L18" si="1">((1-H$13)^$G15)*H$13</f>
        <v>0.16000000000000003</v>
      </c>
      <c r="I15" s="144">
        <f>((1-I$13)^$G15)*I$13</f>
        <v>0.24</v>
      </c>
      <c r="J15" s="144">
        <f t="shared" si="1"/>
        <v>0.24</v>
      </c>
      <c r="K15" s="143">
        <f t="shared" si="1"/>
        <v>0.15999999999999998</v>
      </c>
      <c r="L15" s="143">
        <f t="shared" si="1"/>
        <v>0</v>
      </c>
    </row>
    <row r="16" spans="2:12" ht="25.5" x14ac:dyDescent="0.75">
      <c r="F16" s="178"/>
      <c r="G16" s="178">
        <v>2</v>
      </c>
      <c r="H16" s="180">
        <f t="shared" si="1"/>
        <v>0.12800000000000003</v>
      </c>
      <c r="I16" s="143">
        <f t="shared" si="1"/>
        <v>0.14399999999999999</v>
      </c>
      <c r="J16" s="143">
        <f t="shared" si="1"/>
        <v>9.6000000000000016E-2</v>
      </c>
      <c r="K16" s="143">
        <f t="shared" si="1"/>
        <v>3.1999999999999987E-2</v>
      </c>
      <c r="L16" s="143">
        <f t="shared" si="1"/>
        <v>0</v>
      </c>
    </row>
    <row r="17" spans="6:12" ht="25.5" x14ac:dyDescent="0.75">
      <c r="F17" s="178"/>
      <c r="G17" s="178">
        <v>3</v>
      </c>
      <c r="H17" s="180">
        <f t="shared" si="1"/>
        <v>0.10240000000000003</v>
      </c>
      <c r="I17" s="143">
        <f t="shared" si="1"/>
        <v>8.6400000000000005E-2</v>
      </c>
      <c r="J17" s="143">
        <f t="shared" si="1"/>
        <v>3.8400000000000011E-2</v>
      </c>
      <c r="K17" s="143">
        <f t="shared" si="1"/>
        <v>6.399999999999996E-3</v>
      </c>
      <c r="L17" s="143">
        <f t="shared" si="1"/>
        <v>0</v>
      </c>
    </row>
    <row r="18" spans="6:12" ht="25.5" x14ac:dyDescent="0.75">
      <c r="F18" s="178"/>
      <c r="G18" s="178">
        <v>4</v>
      </c>
      <c r="H18" s="180">
        <f>((1-H$13)^$G18)*H$13</f>
        <v>8.1920000000000048E-2</v>
      </c>
      <c r="I18" s="143">
        <f t="shared" si="1"/>
        <v>5.1839999999999997E-2</v>
      </c>
      <c r="J18" s="143">
        <f t="shared" si="1"/>
        <v>1.5360000000000006E-2</v>
      </c>
      <c r="K18" s="143">
        <f t="shared" si="1"/>
        <v>1.2799999999999988E-3</v>
      </c>
      <c r="L18" s="143">
        <f t="shared" si="1"/>
        <v>0</v>
      </c>
    </row>
    <row r="19" spans="6:12" ht="25.5" x14ac:dyDescent="0.75">
      <c r="F19" s="178"/>
      <c r="G19" s="178">
        <v>5</v>
      </c>
      <c r="H19" s="180"/>
      <c r="I19" s="143"/>
      <c r="J19" s="143"/>
      <c r="K19" s="143"/>
      <c r="L19" s="143"/>
    </row>
    <row r="20" spans="6:12" x14ac:dyDescent="0.45">
      <c r="F20" s="178"/>
      <c r="G20" s="178"/>
      <c r="H20" s="178"/>
    </row>
    <row r="21" spans="6:12" x14ac:dyDescent="0.45">
      <c r="F21" s="178"/>
      <c r="G21" s="178"/>
      <c r="H21" s="178"/>
    </row>
    <row r="22" spans="6:12" x14ac:dyDescent="0.45">
      <c r="F22" s="178"/>
      <c r="G22" s="178"/>
      <c r="H22" s="178"/>
    </row>
    <row r="23" spans="6:12" x14ac:dyDescent="0.45">
      <c r="F23" s="178"/>
      <c r="G23" s="178"/>
      <c r="H23" s="178"/>
    </row>
  </sheetData>
  <mergeCells count="2">
    <mergeCell ref="H2:L2"/>
    <mergeCell ref="C2:G2"/>
  </mergeCells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showGridLines="0" zoomScale="145" zoomScaleNormal="145" workbookViewId="0">
      <selection activeCell="N8" sqref="N8"/>
    </sheetView>
  </sheetViews>
  <sheetFormatPr baseColWidth="10" defaultColWidth="8.86328125" defaultRowHeight="14.25" x14ac:dyDescent="0.45"/>
  <cols>
    <col min="1" max="3" width="9.3984375" customWidth="1"/>
  </cols>
  <sheetData>
    <row r="1" spans="1:6" x14ac:dyDescent="0.45">
      <c r="A1" s="52" t="s">
        <v>0</v>
      </c>
      <c r="B1" s="52" t="s">
        <v>1</v>
      </c>
      <c r="C1" s="52" t="s">
        <v>2</v>
      </c>
      <c r="E1" s="54" t="s">
        <v>26</v>
      </c>
      <c r="F1" s="121">
        <v>0.2</v>
      </c>
    </row>
    <row r="2" spans="1:6" x14ac:dyDescent="0.45">
      <c r="A2" s="15">
        <v>1</v>
      </c>
      <c r="B2" s="53">
        <v>37</v>
      </c>
      <c r="C2" s="110">
        <v>37</v>
      </c>
    </row>
    <row r="3" spans="1:6" x14ac:dyDescent="0.45">
      <c r="A3" s="15">
        <v>2</v>
      </c>
      <c r="B3" s="53">
        <v>60</v>
      </c>
      <c r="C3" s="53">
        <f>$F$1*B2+(1-$F$1)*C2</f>
        <v>37</v>
      </c>
    </row>
    <row r="4" spans="1:6" x14ac:dyDescent="0.45">
      <c r="A4" s="15">
        <v>3</v>
      </c>
      <c r="B4" s="53">
        <v>85</v>
      </c>
      <c r="C4" s="53">
        <f t="shared" ref="C4:C11" si="0">$F$1*B3+(1-$F$1)*C3</f>
        <v>41.6</v>
      </c>
    </row>
    <row r="5" spans="1:6" x14ac:dyDescent="0.45">
      <c r="A5" s="15">
        <v>4</v>
      </c>
      <c r="B5" s="53">
        <v>112</v>
      </c>
      <c r="C5" s="53">
        <f t="shared" si="0"/>
        <v>50.28</v>
      </c>
    </row>
    <row r="6" spans="1:6" x14ac:dyDescent="0.45">
      <c r="A6" s="15">
        <v>5</v>
      </c>
      <c r="B6" s="53">
        <v>132</v>
      </c>
      <c r="C6" s="53">
        <f t="shared" si="0"/>
        <v>62.624000000000009</v>
      </c>
    </row>
    <row r="7" spans="1:6" x14ac:dyDescent="0.45">
      <c r="A7" s="15">
        <v>6</v>
      </c>
      <c r="B7" s="53">
        <v>145</v>
      </c>
      <c r="C7" s="53">
        <f t="shared" si="0"/>
        <v>76.499200000000016</v>
      </c>
    </row>
    <row r="8" spans="1:6" x14ac:dyDescent="0.45">
      <c r="A8" s="15">
        <v>7</v>
      </c>
      <c r="B8" s="53">
        <v>179</v>
      </c>
      <c r="C8" s="53">
        <f t="shared" si="0"/>
        <v>90.199360000000013</v>
      </c>
    </row>
    <row r="9" spans="1:6" x14ac:dyDescent="0.45">
      <c r="A9" s="15">
        <v>8</v>
      </c>
      <c r="B9" s="53">
        <v>198</v>
      </c>
      <c r="C9" s="53">
        <f t="shared" si="0"/>
        <v>107.95948800000002</v>
      </c>
    </row>
    <row r="10" spans="1:6" x14ac:dyDescent="0.45">
      <c r="A10" s="15">
        <v>9</v>
      </c>
      <c r="B10" s="53">
        <v>212</v>
      </c>
      <c r="C10" s="53">
        <f t="shared" si="0"/>
        <v>125.96759040000003</v>
      </c>
    </row>
    <row r="11" spans="1:6" x14ac:dyDescent="0.45">
      <c r="A11" s="15">
        <v>10</v>
      </c>
      <c r="B11" s="53">
        <v>232</v>
      </c>
      <c r="C11" s="53">
        <f t="shared" si="0"/>
        <v>143.17407232000005</v>
      </c>
    </row>
    <row r="12" spans="1:6" x14ac:dyDescent="0.45">
      <c r="A12" s="15">
        <v>11</v>
      </c>
      <c r="B12" s="15"/>
      <c r="C12" s="53">
        <f>$F$1*B11+(1-$F$1)*C11</f>
        <v>160.93925785600004</v>
      </c>
    </row>
    <row r="13" spans="1:6" x14ac:dyDescent="0.45">
      <c r="A13" s="15">
        <v>12</v>
      </c>
      <c r="B13" s="15"/>
      <c r="C13" s="53">
        <f>C12</f>
        <v>160.93925785600004</v>
      </c>
    </row>
    <row r="14" spans="1:6" x14ac:dyDescent="0.45">
      <c r="A14" s="15">
        <v>13</v>
      </c>
      <c r="B14" s="15"/>
      <c r="C14" s="53">
        <f>C13</f>
        <v>160.93925785600004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topLeftCell="A13" zoomScale="115" zoomScaleNormal="115" workbookViewId="0">
      <selection sqref="A1:H14"/>
    </sheetView>
  </sheetViews>
  <sheetFormatPr baseColWidth="10" defaultColWidth="8.86328125" defaultRowHeight="14.25" x14ac:dyDescent="0.45"/>
  <cols>
    <col min="1" max="1" width="9.265625" bestFit="1" customWidth="1"/>
    <col min="2" max="4" width="9.3984375" bestFit="1" customWidth="1"/>
    <col min="5" max="5" width="9.265625" bestFit="1" customWidth="1"/>
  </cols>
  <sheetData>
    <row r="1" spans="1:8" x14ac:dyDescent="0.45">
      <c r="A1" s="56" t="s">
        <v>0</v>
      </c>
      <c r="B1" s="56" t="s">
        <v>1</v>
      </c>
      <c r="C1" s="56" t="s">
        <v>2</v>
      </c>
      <c r="D1" s="56" t="s">
        <v>27</v>
      </c>
      <c r="E1" s="56" t="s">
        <v>28</v>
      </c>
      <c r="G1" s="54" t="s">
        <v>26</v>
      </c>
      <c r="H1" s="55">
        <v>0.3</v>
      </c>
    </row>
    <row r="2" spans="1:8" x14ac:dyDescent="0.45">
      <c r="A2" s="53">
        <v>1</v>
      </c>
      <c r="B2" s="53">
        <v>37</v>
      </c>
      <c r="C2" s="53"/>
      <c r="D2" s="110">
        <f>B2</f>
        <v>37</v>
      </c>
      <c r="E2" s="110">
        <f>B3-B2</f>
        <v>23</v>
      </c>
      <c r="G2" s="54" t="s">
        <v>29</v>
      </c>
      <c r="H2" s="55">
        <v>0.4</v>
      </c>
    </row>
    <row r="3" spans="1:8" x14ac:dyDescent="0.45">
      <c r="A3" s="53">
        <v>2</v>
      </c>
      <c r="B3" s="53">
        <v>60</v>
      </c>
      <c r="C3" s="53">
        <f>D2+E2</f>
        <v>60</v>
      </c>
      <c r="D3" s="53">
        <f>$H$1*B3+(1-$H$1)*(D2+E2)</f>
        <v>60</v>
      </c>
      <c r="E3" s="53">
        <f>$H$2*(D3-D2)+E2*(1-$H$2)</f>
        <v>23</v>
      </c>
    </row>
    <row r="4" spans="1:8" x14ac:dyDescent="0.45">
      <c r="A4" s="53">
        <v>3</v>
      </c>
      <c r="B4" s="53">
        <v>85</v>
      </c>
      <c r="C4" s="53">
        <f t="shared" ref="C4:C11" si="0">D3+E3</f>
        <v>83</v>
      </c>
      <c r="D4" s="53">
        <f>$H$1*B4+(1-$H$1)*(D3+E3)</f>
        <v>83.6</v>
      </c>
      <c r="E4" s="53">
        <f t="shared" ref="E4:E11" si="1">$H$2*(D4-D3)+E3*(1-$H$2)</f>
        <v>23.239999999999995</v>
      </c>
    </row>
    <row r="5" spans="1:8" x14ac:dyDescent="0.45">
      <c r="A5" s="53">
        <v>4</v>
      </c>
      <c r="B5" s="53">
        <v>112</v>
      </c>
      <c r="C5" s="53">
        <f t="shared" si="0"/>
        <v>106.83999999999999</v>
      </c>
      <c r="D5" s="53">
        <f t="shared" ref="D5:D11" si="2">$H$1*B5+(1-$H$1)*(D4+E4)</f>
        <v>108.38799999999998</v>
      </c>
      <c r="E5" s="53">
        <f t="shared" si="1"/>
        <v>23.859199999999991</v>
      </c>
    </row>
    <row r="6" spans="1:8" x14ac:dyDescent="0.45">
      <c r="A6" s="53">
        <v>5</v>
      </c>
      <c r="B6" s="53">
        <v>132</v>
      </c>
      <c r="C6" s="53">
        <f t="shared" si="0"/>
        <v>132.24719999999996</v>
      </c>
      <c r="D6" s="53">
        <f t="shared" si="2"/>
        <v>132.17303999999996</v>
      </c>
      <c r="E6" s="53">
        <f t="shared" si="1"/>
        <v>23.829535999999987</v>
      </c>
    </row>
    <row r="7" spans="1:8" x14ac:dyDescent="0.45">
      <c r="A7" s="53">
        <v>6</v>
      </c>
      <c r="B7" s="53">
        <v>145</v>
      </c>
      <c r="C7" s="53">
        <f t="shared" si="0"/>
        <v>156.00257599999995</v>
      </c>
      <c r="D7" s="53">
        <f t="shared" si="2"/>
        <v>152.70180319999997</v>
      </c>
      <c r="E7" s="53">
        <f t="shared" si="1"/>
        <v>22.50922688</v>
      </c>
    </row>
    <row r="8" spans="1:8" x14ac:dyDescent="0.45">
      <c r="A8" s="53">
        <v>7</v>
      </c>
      <c r="B8" s="53">
        <v>179</v>
      </c>
      <c r="C8" s="53">
        <f t="shared" si="0"/>
        <v>175.21103007999997</v>
      </c>
      <c r="D8" s="53">
        <f t="shared" si="2"/>
        <v>176.34772105599995</v>
      </c>
      <c r="E8" s="53">
        <f t="shared" si="1"/>
        <v>22.963903270399992</v>
      </c>
    </row>
    <row r="9" spans="1:8" x14ac:dyDescent="0.45">
      <c r="A9" s="53">
        <v>8</v>
      </c>
      <c r="B9" s="53">
        <v>198</v>
      </c>
      <c r="C9" s="53">
        <f t="shared" si="0"/>
        <v>199.31162432639994</v>
      </c>
      <c r="D9" s="53">
        <f t="shared" si="2"/>
        <v>198.91813702847995</v>
      </c>
      <c r="E9" s="53">
        <f t="shared" si="1"/>
        <v>22.80650835123199</v>
      </c>
    </row>
    <row r="10" spans="1:8" x14ac:dyDescent="0.45">
      <c r="A10" s="53">
        <v>9</v>
      </c>
      <c r="B10" s="53">
        <v>212</v>
      </c>
      <c r="C10" s="53">
        <f t="shared" si="0"/>
        <v>221.72464537971194</v>
      </c>
      <c r="D10" s="53">
        <f t="shared" si="2"/>
        <v>218.80725176579836</v>
      </c>
      <c r="E10" s="53">
        <f t="shared" si="1"/>
        <v>21.639550905666557</v>
      </c>
    </row>
    <row r="11" spans="1:8" x14ac:dyDescent="0.45">
      <c r="A11" s="53">
        <v>10</v>
      </c>
      <c r="B11" s="53">
        <v>232</v>
      </c>
      <c r="C11" s="53">
        <f t="shared" si="0"/>
        <v>240.44680267146492</v>
      </c>
      <c r="D11" s="53">
        <f t="shared" si="2"/>
        <v>237.91276187002543</v>
      </c>
      <c r="E11" s="53">
        <f t="shared" si="1"/>
        <v>20.625934585090768</v>
      </c>
    </row>
    <row r="12" spans="1:8" x14ac:dyDescent="0.45">
      <c r="A12" s="53">
        <v>11</v>
      </c>
      <c r="B12" s="53"/>
      <c r="C12" s="53">
        <f>D11+E11</f>
        <v>258.53869645511622</v>
      </c>
      <c r="D12" s="53"/>
      <c r="E12" s="53"/>
    </row>
    <row r="13" spans="1:8" x14ac:dyDescent="0.45">
      <c r="A13" s="53">
        <v>12</v>
      </c>
      <c r="B13" s="53"/>
      <c r="C13" s="53">
        <f>D11+2*$E$11</f>
        <v>279.16463104020698</v>
      </c>
      <c r="D13" s="53"/>
      <c r="E13" s="53"/>
    </row>
    <row r="14" spans="1:8" x14ac:dyDescent="0.45">
      <c r="A14" s="53">
        <v>13</v>
      </c>
      <c r="B14" s="53"/>
      <c r="C14" s="53">
        <f>D11+3*$E$11</f>
        <v>299.79056562529775</v>
      </c>
      <c r="D14" s="53"/>
      <c r="E14" s="5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"/>
  <sheetViews>
    <sheetView showGridLines="0" topLeftCell="A4" zoomScale="115" zoomScaleNormal="115" workbookViewId="0">
      <selection activeCell="C13" sqref="C13"/>
    </sheetView>
  </sheetViews>
  <sheetFormatPr baseColWidth="10" defaultColWidth="8.86328125" defaultRowHeight="14.25" x14ac:dyDescent="0.45"/>
  <cols>
    <col min="9" max="11" width="8.86328125" customWidth="1"/>
  </cols>
  <sheetData>
    <row r="1" spans="1:11" x14ac:dyDescent="0.45">
      <c r="A1" s="52" t="s">
        <v>0</v>
      </c>
      <c r="B1" s="52" t="s">
        <v>1</v>
      </c>
      <c r="C1" s="52" t="s">
        <v>2</v>
      </c>
      <c r="D1" s="52" t="s">
        <v>27</v>
      </c>
      <c r="E1" s="52" t="s">
        <v>28</v>
      </c>
      <c r="G1" s="54" t="s">
        <v>26</v>
      </c>
      <c r="H1" s="55">
        <v>0.3</v>
      </c>
    </row>
    <row r="2" spans="1:11" x14ac:dyDescent="0.45">
      <c r="A2" s="73">
        <v>1</v>
      </c>
      <c r="B2" s="73">
        <v>37</v>
      </c>
      <c r="C2" s="145"/>
      <c r="D2" s="146">
        <f>B2</f>
        <v>37</v>
      </c>
      <c r="E2" s="146">
        <f>B3-B2</f>
        <v>33</v>
      </c>
      <c r="G2" s="54" t="s">
        <v>29</v>
      </c>
      <c r="H2" s="55">
        <v>0.4</v>
      </c>
      <c r="J2" s="2">
        <f>ABS(C2-B2)</f>
        <v>37</v>
      </c>
      <c r="K2" s="2">
        <f>AVERAGE(J3:J11)</f>
        <v>5.7157760961359019</v>
      </c>
    </row>
    <row r="3" spans="1:11" x14ac:dyDescent="0.45">
      <c r="A3" s="73">
        <v>2</v>
      </c>
      <c r="B3" s="73">
        <v>70</v>
      </c>
      <c r="C3" s="73">
        <f>D2+E2*$H$3</f>
        <v>63.400000000000006</v>
      </c>
      <c r="D3" s="73">
        <f>$H$1*B3+(1-$H$1)*(D2+E2*$H$3)</f>
        <v>65.38</v>
      </c>
      <c r="E3" s="73">
        <f>$H$2*(D3-D2)+(1-$H$2)*E2*$H$3</f>
        <v>27.192</v>
      </c>
      <c r="G3" s="54" t="s">
        <v>30</v>
      </c>
      <c r="H3" s="55">
        <v>0.8</v>
      </c>
      <c r="J3" s="2">
        <f t="shared" ref="J3:J11" si="0">ABS(C3-B3)</f>
        <v>6.5999999999999943</v>
      </c>
    </row>
    <row r="4" spans="1:11" x14ac:dyDescent="0.45">
      <c r="A4" s="73">
        <v>3</v>
      </c>
      <c r="B4" s="73">
        <v>100</v>
      </c>
      <c r="C4" s="73">
        <f t="shared" ref="C4:C10" si="1">D3+E3*$H$3</f>
        <v>87.133600000000001</v>
      </c>
      <c r="D4" s="73">
        <f t="shared" ref="D4:D10" si="2">$H$1*B4+(1-$H$1)*(D3+E3*$H$3)</f>
        <v>90.99351999999999</v>
      </c>
      <c r="E4" s="73">
        <f t="shared" ref="E4:E10" si="3">$H$2*(D4-D3)+(1-$H$2)*E3*$H$3</f>
        <v>23.297567999999998</v>
      </c>
      <c r="J4" s="2">
        <f t="shared" si="0"/>
        <v>12.866399999999999</v>
      </c>
    </row>
    <row r="5" spans="1:11" x14ac:dyDescent="0.45">
      <c r="A5" s="73">
        <v>4</v>
      </c>
      <c r="B5" s="73">
        <v>125</v>
      </c>
      <c r="C5" s="73">
        <f t="shared" si="1"/>
        <v>109.63157439999999</v>
      </c>
      <c r="D5" s="73">
        <f t="shared" si="2"/>
        <v>114.24210208</v>
      </c>
      <c r="E5" s="73">
        <f t="shared" si="3"/>
        <v>20.482265472000002</v>
      </c>
      <c r="J5" s="2">
        <f t="shared" si="0"/>
        <v>15.368425600000009</v>
      </c>
    </row>
    <row r="6" spans="1:11" x14ac:dyDescent="0.45">
      <c r="A6" s="73">
        <v>5</v>
      </c>
      <c r="B6" s="73">
        <v>137</v>
      </c>
      <c r="C6" s="73">
        <f t="shared" si="1"/>
        <v>130.62791445759999</v>
      </c>
      <c r="D6" s="73">
        <f t="shared" si="2"/>
        <v>132.53954012032</v>
      </c>
      <c r="E6" s="73">
        <f t="shared" si="3"/>
        <v>17.150462642688005</v>
      </c>
      <c r="J6" s="2">
        <f t="shared" si="0"/>
        <v>6.3720855424000149</v>
      </c>
    </row>
    <row r="7" spans="1:11" x14ac:dyDescent="0.45">
      <c r="A7" s="73">
        <v>6</v>
      </c>
      <c r="B7" s="73">
        <v>150</v>
      </c>
      <c r="C7" s="73">
        <f t="shared" si="1"/>
        <v>146.2599102344704</v>
      </c>
      <c r="D7" s="73">
        <f t="shared" si="2"/>
        <v>147.38193716412928</v>
      </c>
      <c r="E7" s="73">
        <f t="shared" si="3"/>
        <v>14.169180886013958</v>
      </c>
      <c r="J7" s="2">
        <f t="shared" si="0"/>
        <v>3.7400897655296035</v>
      </c>
    </row>
    <row r="8" spans="1:11" x14ac:dyDescent="0.45">
      <c r="A8" s="73">
        <v>7</v>
      </c>
      <c r="B8" s="73">
        <v>160</v>
      </c>
      <c r="C8" s="73">
        <f t="shared" si="1"/>
        <v>158.71728187294045</v>
      </c>
      <c r="D8" s="73">
        <f t="shared" si="2"/>
        <v>159.10209731105829</v>
      </c>
      <c r="E8" s="73">
        <f t="shared" si="3"/>
        <v>11.489270884058302</v>
      </c>
      <c r="J8" s="2">
        <f t="shared" si="0"/>
        <v>1.2827181270595531</v>
      </c>
    </row>
    <row r="9" spans="1:11" x14ac:dyDescent="0.45">
      <c r="A9" s="73">
        <v>8</v>
      </c>
      <c r="B9" s="73">
        <v>168</v>
      </c>
      <c r="C9" s="73">
        <f t="shared" si="1"/>
        <v>168.29351401830493</v>
      </c>
      <c r="D9" s="73">
        <f t="shared" si="2"/>
        <v>168.20545981281344</v>
      </c>
      <c r="E9" s="73">
        <f t="shared" si="3"/>
        <v>9.1561950250500477</v>
      </c>
      <c r="J9" s="2">
        <f t="shared" si="0"/>
        <v>0.29351401830493273</v>
      </c>
    </row>
    <row r="10" spans="1:11" x14ac:dyDescent="0.45">
      <c r="A10" s="73">
        <v>9</v>
      </c>
      <c r="B10" s="73">
        <v>173</v>
      </c>
      <c r="C10" s="73">
        <f t="shared" si="1"/>
        <v>175.53041583285349</v>
      </c>
      <c r="D10" s="73">
        <f t="shared" si="2"/>
        <v>174.77129108299744</v>
      </c>
      <c r="E10" s="73">
        <f t="shared" si="3"/>
        <v>7.0213061200976199</v>
      </c>
      <c r="G10" s="151">
        <v>37</v>
      </c>
      <c r="H10">
        <v>37</v>
      </c>
      <c r="J10" s="2">
        <f t="shared" si="0"/>
        <v>2.5304158328534925</v>
      </c>
    </row>
    <row r="11" spans="1:11" x14ac:dyDescent="0.45">
      <c r="A11" s="73">
        <v>10</v>
      </c>
      <c r="B11" s="73">
        <v>178</v>
      </c>
      <c r="C11" s="73">
        <f>D10+E10*$H$3</f>
        <v>180.38833597907552</v>
      </c>
      <c r="D11" s="73">
        <f>$H$1*B11+(1-$H$1)*(D10+E10*$H$3)</f>
        <v>179.67183518535285</v>
      </c>
      <c r="E11" s="73">
        <f>$H$2*(D11-D10)+(1-$H$2)*E10*$H$3</f>
        <v>5.330444578589022</v>
      </c>
      <c r="G11" s="151">
        <v>70</v>
      </c>
      <c r="H11">
        <v>60</v>
      </c>
      <c r="J11" s="2">
        <f t="shared" si="0"/>
        <v>2.3883359790755208</v>
      </c>
    </row>
    <row r="12" spans="1:11" x14ac:dyDescent="0.45">
      <c r="A12" s="73">
        <v>11</v>
      </c>
      <c r="B12" s="73"/>
      <c r="C12" s="73">
        <f>D11+E11*$H$3</f>
        <v>183.93619084822407</v>
      </c>
      <c r="D12" s="73"/>
      <c r="E12" s="73"/>
      <c r="G12" s="151">
        <v>100</v>
      </c>
      <c r="H12">
        <v>85</v>
      </c>
    </row>
    <row r="13" spans="1:11" x14ac:dyDescent="0.45">
      <c r="A13" s="73">
        <v>12</v>
      </c>
      <c r="B13" s="73"/>
      <c r="C13" s="73">
        <f>D11+E11*($H$3^1+$H$3^2)</f>
        <v>187.34767537852105</v>
      </c>
      <c r="D13" s="73"/>
      <c r="E13" s="73"/>
      <c r="G13" s="151">
        <v>125</v>
      </c>
      <c r="H13">
        <v>112</v>
      </c>
    </row>
    <row r="14" spans="1:11" x14ac:dyDescent="0.45">
      <c r="A14" s="73">
        <v>13</v>
      </c>
      <c r="B14" s="73"/>
      <c r="C14" s="73">
        <f>D11+E11*($H$3^1+$H$3^2+$H$3^3)</f>
        <v>190.07686300275861</v>
      </c>
      <c r="D14" s="73"/>
      <c r="E14" s="73"/>
      <c r="G14" s="151">
        <v>137</v>
      </c>
      <c r="H14">
        <v>132</v>
      </c>
    </row>
    <row r="15" spans="1:11" x14ac:dyDescent="0.45">
      <c r="G15" s="151">
        <v>150</v>
      </c>
      <c r="H15">
        <v>145</v>
      </c>
    </row>
    <row r="16" spans="1:11" x14ac:dyDescent="0.45">
      <c r="G16" s="151">
        <v>160</v>
      </c>
      <c r="H16">
        <v>179</v>
      </c>
    </row>
    <row r="17" spans="7:8" x14ac:dyDescent="0.45">
      <c r="G17" s="151">
        <v>168</v>
      </c>
      <c r="H17">
        <v>198</v>
      </c>
    </row>
    <row r="18" spans="7:8" x14ac:dyDescent="0.45">
      <c r="G18" s="151">
        <v>173</v>
      </c>
      <c r="H18">
        <v>212</v>
      </c>
    </row>
    <row r="19" spans="7:8" x14ac:dyDescent="0.45">
      <c r="G19" s="151">
        <v>178</v>
      </c>
      <c r="H19">
        <v>232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showGridLines="0" tabSelected="1" topLeftCell="A15" zoomScale="85" zoomScaleNormal="85" workbookViewId="0">
      <selection activeCell="E21" sqref="E21"/>
    </sheetView>
  </sheetViews>
  <sheetFormatPr baseColWidth="10" defaultColWidth="8.86328125" defaultRowHeight="14.25" x14ac:dyDescent="0.45"/>
  <cols>
    <col min="3" max="3" width="9.265625" bestFit="1" customWidth="1"/>
    <col min="4" max="4" width="10.73046875" style="1" bestFit="1" customWidth="1"/>
    <col min="5" max="5" width="10.265625" style="1" bestFit="1" customWidth="1"/>
    <col min="6" max="6" width="11" style="1" bestFit="1" customWidth="1"/>
    <col min="7" max="7" width="9.3984375" style="1" bestFit="1" customWidth="1"/>
    <col min="8" max="8" width="9.3984375" style="5" customWidth="1"/>
    <col min="9" max="9" width="9.1328125" style="1"/>
    <col min="12" max="12" width="11" bestFit="1" customWidth="1"/>
  </cols>
  <sheetData>
    <row r="1" spans="1:13" ht="14.65" thickBot="1" x14ac:dyDescent="0.5">
      <c r="A1" s="72" t="s">
        <v>31</v>
      </c>
      <c r="B1" s="72" t="s">
        <v>32</v>
      </c>
      <c r="C1" s="134" t="s">
        <v>0</v>
      </c>
      <c r="D1" s="134" t="s">
        <v>1</v>
      </c>
      <c r="E1" s="134" t="s">
        <v>2</v>
      </c>
      <c r="F1" s="134" t="s">
        <v>27</v>
      </c>
      <c r="G1" s="134" t="s">
        <v>28</v>
      </c>
      <c r="H1" s="134" t="s">
        <v>33</v>
      </c>
      <c r="J1" s="3" t="s">
        <v>26</v>
      </c>
      <c r="K1" s="4">
        <v>0.8</v>
      </c>
      <c r="M1" s="6"/>
    </row>
    <row r="2" spans="1:13" x14ac:dyDescent="0.45">
      <c r="A2" s="72">
        <v>1</v>
      </c>
      <c r="B2" s="72">
        <v>1</v>
      </c>
      <c r="C2" s="123">
        <v>1</v>
      </c>
      <c r="D2" s="124">
        <v>14</v>
      </c>
      <c r="E2" s="135"/>
      <c r="F2" s="136">
        <f>D2/H2</f>
        <v>6.8734939759036138</v>
      </c>
      <c r="G2" s="136">
        <f>(D3/H3)-(D2/H2)</f>
        <v>1.7967187900538324</v>
      </c>
      <c r="H2" s="137">
        <f>AVERAGE(D2,D6,D10,D14,D18)/AVERAGE($D$2:$D$21)</f>
        <v>2.0368098159509205</v>
      </c>
      <c r="J2" s="3" t="s">
        <v>29</v>
      </c>
      <c r="K2" s="4">
        <v>0.1</v>
      </c>
      <c r="M2" s="7"/>
    </row>
    <row r="3" spans="1:13" x14ac:dyDescent="0.45">
      <c r="A3" s="72">
        <v>1</v>
      </c>
      <c r="B3" s="72">
        <v>2</v>
      </c>
      <c r="C3" s="128">
        <v>2</v>
      </c>
      <c r="D3" s="15">
        <v>10</v>
      </c>
      <c r="E3" s="154"/>
      <c r="F3" s="152">
        <f>$K$1*D3/H3+(1-$K$1)*(F2+G2)</f>
        <v>8.6702127659574462</v>
      </c>
      <c r="G3" s="152">
        <f>$K$2*(F3-F2)+(1-$K$2)*G2</f>
        <v>1.7967187900538324</v>
      </c>
      <c r="H3" s="138">
        <f>AVERAGE(D3,D7,D11,D15,D19)/AVERAGE($D$2:$D$21)</f>
        <v>1.1533742331288344</v>
      </c>
      <c r="J3" s="3" t="s">
        <v>34</v>
      </c>
      <c r="K3" s="4">
        <v>0.4</v>
      </c>
      <c r="M3" s="7"/>
    </row>
    <row r="4" spans="1:13" x14ac:dyDescent="0.45">
      <c r="A4" s="72">
        <v>1</v>
      </c>
      <c r="B4" s="72">
        <v>3</v>
      </c>
      <c r="C4" s="128">
        <v>3</v>
      </c>
      <c r="D4" s="15">
        <v>6</v>
      </c>
      <c r="E4" s="154"/>
      <c r="F4" s="152">
        <f>$K$1*D4/H4+(1-$K$1)*(F3+G3)</f>
        <v>10.243386311202258</v>
      </c>
      <c r="G4" s="152">
        <f>$K$2*(F4-F3)+(1-$K$2)*G3</f>
        <v>1.7743642655729304</v>
      </c>
      <c r="H4" s="138">
        <f>AVERAGE(D4,D8,D12,D16,D20)/AVERAGE($D$2:$D$21)</f>
        <v>0.58895705521472386</v>
      </c>
      <c r="M4" s="7"/>
    </row>
    <row r="5" spans="1:13" ht="14.65" thickBot="1" x14ac:dyDescent="0.5">
      <c r="A5" s="72">
        <v>1</v>
      </c>
      <c r="B5" s="72">
        <v>4</v>
      </c>
      <c r="C5" s="130">
        <v>4</v>
      </c>
      <c r="D5" s="131">
        <v>2</v>
      </c>
      <c r="E5" s="155"/>
      <c r="F5" s="153">
        <f>$K$1*D5/H5+(1-$K$1)*(F4+G4)</f>
        <v>9.6479945597994821</v>
      </c>
      <c r="G5" s="153">
        <f t="shared" ref="G5:G20" si="0">$K$2*(F5-F4)+(1-$K$2)*G4</f>
        <v>1.5373886638753598</v>
      </c>
      <c r="H5" s="139">
        <f>AVERAGE(D5,D9,D13,D17,D21)/AVERAGE($D$2:$D$21)</f>
        <v>0.22085889570552147</v>
      </c>
    </row>
    <row r="6" spans="1:13" x14ac:dyDescent="0.45">
      <c r="A6" s="72">
        <v>2</v>
      </c>
      <c r="B6" s="72">
        <v>1</v>
      </c>
      <c r="C6" s="123">
        <v>5</v>
      </c>
      <c r="D6" s="124">
        <v>18</v>
      </c>
      <c r="E6" s="125">
        <f>(F5+G5)*H2</f>
        <v>22.78249834515367</v>
      </c>
      <c r="F6" s="126">
        <f>$K$1*D6/H2+(1-$K$1)*(F5+G5)</f>
        <v>9.306956162807257</v>
      </c>
      <c r="G6" s="126">
        <f>$K$2*(F6-F5)+(1-$K$2)*G5</f>
        <v>1.3495459577886013</v>
      </c>
      <c r="H6" s="127">
        <f>$K$3*(D6/F6)+(1-$K$3)*H2</f>
        <v>1.9957007937400659</v>
      </c>
    </row>
    <row r="7" spans="1:13" x14ac:dyDescent="0.45">
      <c r="A7" s="72">
        <v>2</v>
      </c>
      <c r="B7" s="72">
        <v>2</v>
      </c>
      <c r="C7" s="128">
        <v>6</v>
      </c>
      <c r="D7" s="15">
        <v>8</v>
      </c>
      <c r="E7" s="116">
        <f>(F6+G6)*H3</f>
        <v>12.290934961178046</v>
      </c>
      <c r="F7" s="117">
        <f t="shared" ref="F7:F20" si="1">$K$1*D7/H3+(1-$K$1)*(F6+G6)</f>
        <v>7.6802365943319373</v>
      </c>
      <c r="G7" s="117">
        <f t="shared" si="0"/>
        <v>1.0519194051622094</v>
      </c>
      <c r="H7" s="129">
        <f>$K$3*(D7/F7)+(1-$K$3)*H3</f>
        <v>1.1086783708753742</v>
      </c>
    </row>
    <row r="8" spans="1:13" s="1" customFormat="1" x14ac:dyDescent="0.45">
      <c r="A8" s="72">
        <v>2</v>
      </c>
      <c r="B8" s="72">
        <v>3</v>
      </c>
      <c r="C8" s="128">
        <v>7</v>
      </c>
      <c r="D8" s="15">
        <v>4</v>
      </c>
      <c r="E8" s="116">
        <f t="shared" ref="E8:E20" si="2">(F7+G7)*H4</f>
        <v>5.1428648831376567</v>
      </c>
      <c r="F8" s="117">
        <f t="shared" si="1"/>
        <v>7.1797645332321629</v>
      </c>
      <c r="G8" s="117">
        <f t="shared" si="0"/>
        <v>0.89668025853601097</v>
      </c>
      <c r="H8" s="129">
        <f>$K$3*(D8/F8)+(1-$K$3)*H4</f>
        <v>0.57622276703189779</v>
      </c>
      <c r="J8"/>
      <c r="K8"/>
      <c r="L8"/>
      <c r="M8"/>
    </row>
    <row r="9" spans="1:13" s="1" customFormat="1" ht="14.65" thickBot="1" x14ac:dyDescent="0.5">
      <c r="A9" s="72">
        <v>2</v>
      </c>
      <c r="B9" s="72">
        <v>4</v>
      </c>
      <c r="C9" s="130">
        <v>8</v>
      </c>
      <c r="D9" s="131">
        <v>1</v>
      </c>
      <c r="E9" s="116">
        <f t="shared" si="2"/>
        <v>1.783754677936529</v>
      </c>
      <c r="F9" s="132">
        <f t="shared" si="1"/>
        <v>5.2375111805758561</v>
      </c>
      <c r="G9" s="132">
        <f t="shared" si="0"/>
        <v>0.61278689741677916</v>
      </c>
      <c r="H9" s="133">
        <f>$K$3*(D9/F9)+(1-$K$3)*H5</f>
        <v>0.2088874894262458</v>
      </c>
      <c r="J9"/>
      <c r="K9"/>
      <c r="L9"/>
      <c r="M9"/>
    </row>
    <row r="10" spans="1:13" s="1" customFormat="1" x14ac:dyDescent="0.45">
      <c r="A10" s="72">
        <v>3</v>
      </c>
      <c r="B10" s="72">
        <v>1</v>
      </c>
      <c r="C10" s="123">
        <v>9</v>
      </c>
      <c r="D10" s="124">
        <v>16</v>
      </c>
      <c r="E10" s="116">
        <f t="shared" si="2"/>
        <v>11.675444517865884</v>
      </c>
      <c r="F10" s="126">
        <f t="shared" si="1"/>
        <v>7.5838467124167899</v>
      </c>
      <c r="G10" s="126">
        <f t="shared" si="0"/>
        <v>0.78614176085919463</v>
      </c>
      <c r="H10" s="127">
        <f>$K$3*(D10/F10)+(1-$K$3)*H6</f>
        <v>2.0413193896439483</v>
      </c>
      <c r="J10"/>
      <c r="K10"/>
      <c r="L10"/>
      <c r="M10"/>
    </row>
    <row r="11" spans="1:13" s="1" customFormat="1" x14ac:dyDescent="0.45">
      <c r="A11" s="72">
        <v>3</v>
      </c>
      <c r="B11" s="72">
        <v>2</v>
      </c>
      <c r="C11" s="128">
        <v>10</v>
      </c>
      <c r="D11" s="15">
        <v>9</v>
      </c>
      <c r="E11" s="116">
        <f t="shared" si="2"/>
        <v>9.279625184797279</v>
      </c>
      <c r="F11" s="117">
        <f t="shared" si="1"/>
        <v>8.1682165674515765</v>
      </c>
      <c r="G11" s="117">
        <f t="shared" si="0"/>
        <v>0.7659645702767538</v>
      </c>
      <c r="H11" s="129">
        <f t="shared" ref="H11:H21" si="3">$K$3*(D11/F11)+(1-$K$3)*H7</f>
        <v>1.1059397051459516</v>
      </c>
      <c r="J11"/>
      <c r="K11"/>
      <c r="L11"/>
      <c r="M11"/>
    </row>
    <row r="12" spans="1:13" s="1" customFormat="1" x14ac:dyDescent="0.45">
      <c r="A12" s="72">
        <v>3</v>
      </c>
      <c r="B12" s="72">
        <v>3</v>
      </c>
      <c r="C12" s="128">
        <v>11</v>
      </c>
      <c r="D12" s="15">
        <v>5</v>
      </c>
      <c r="E12" s="116">
        <f t="shared" si="2"/>
        <v>5.1480785763460073</v>
      </c>
      <c r="F12" s="117">
        <f t="shared" si="1"/>
        <v>8.72859595808157</v>
      </c>
      <c r="G12" s="117">
        <f t="shared" si="0"/>
        <v>0.74540605231207779</v>
      </c>
      <c r="H12" s="129">
        <f t="shared" si="3"/>
        <v>0.57486558585813619</v>
      </c>
      <c r="J12"/>
      <c r="K12"/>
      <c r="L12"/>
      <c r="M12"/>
    </row>
    <row r="13" spans="1:13" s="1" customFormat="1" ht="14.65" thickBot="1" x14ac:dyDescent="0.5">
      <c r="A13" s="72">
        <v>3</v>
      </c>
      <c r="B13" s="72">
        <v>4</v>
      </c>
      <c r="C13" s="130">
        <v>12</v>
      </c>
      <c r="D13" s="131">
        <v>3</v>
      </c>
      <c r="E13" s="116">
        <f t="shared" si="2"/>
        <v>1.9790004947703344</v>
      </c>
      <c r="F13" s="132">
        <f t="shared" si="1"/>
        <v>13.384239078335092</v>
      </c>
      <c r="G13" s="132">
        <f t="shared" si="0"/>
        <v>1.1364297591062222</v>
      </c>
      <c r="H13" s="133">
        <f t="shared" si="3"/>
        <v>0.21499018678097159</v>
      </c>
      <c r="J13"/>
      <c r="K13"/>
      <c r="L13"/>
      <c r="M13"/>
    </row>
    <row r="14" spans="1:13" s="1" customFormat="1" x14ac:dyDescent="0.45">
      <c r="A14" s="72">
        <v>4</v>
      </c>
      <c r="B14" s="72">
        <v>1</v>
      </c>
      <c r="C14" s="123">
        <v>13</v>
      </c>
      <c r="D14" s="124">
        <v>18</v>
      </c>
      <c r="E14" s="116">
        <f t="shared" si="2"/>
        <v>29.641322848467606</v>
      </c>
      <c r="F14" s="126">
        <f t="shared" si="1"/>
        <v>9.9583948855936857</v>
      </c>
      <c r="G14" s="126">
        <f t="shared" si="0"/>
        <v>0.68020236392145939</v>
      </c>
      <c r="H14" s="127">
        <f t="shared" si="3"/>
        <v>1.9477997171890347</v>
      </c>
      <c r="J14"/>
      <c r="K14"/>
      <c r="L14"/>
      <c r="M14"/>
    </row>
    <row r="15" spans="1:13" s="1" customFormat="1" x14ac:dyDescent="0.45">
      <c r="A15" s="72">
        <v>4</v>
      </c>
      <c r="B15" s="72">
        <v>2</v>
      </c>
      <c r="C15" s="128">
        <v>14</v>
      </c>
      <c r="D15" s="15">
        <v>11</v>
      </c>
      <c r="E15" s="116">
        <f t="shared" si="2"/>
        <v>11.765647105295312</v>
      </c>
      <c r="F15" s="117">
        <f t="shared" si="1"/>
        <v>10.084753598377388</v>
      </c>
      <c r="G15" s="117">
        <f t="shared" si="0"/>
        <v>0.62481799880768363</v>
      </c>
      <c r="H15" s="129">
        <f t="shared" si="3"/>
        <v>1.0998660050970501</v>
      </c>
      <c r="J15"/>
      <c r="K15"/>
      <c r="L15"/>
      <c r="M15"/>
    </row>
    <row r="16" spans="1:13" s="1" customFormat="1" x14ac:dyDescent="0.45">
      <c r="A16" s="72">
        <v>4</v>
      </c>
      <c r="B16" s="72">
        <v>3</v>
      </c>
      <c r="C16" s="128">
        <v>15</v>
      </c>
      <c r="D16" s="15">
        <v>4</v>
      </c>
      <c r="E16" s="116">
        <f t="shared" si="2"/>
        <v>6.1565641505054511</v>
      </c>
      <c r="F16" s="117">
        <f t="shared" si="1"/>
        <v>7.7084329608741573</v>
      </c>
      <c r="G16" s="117">
        <f t="shared" si="0"/>
        <v>0.32470413517659225</v>
      </c>
      <c r="H16" s="129">
        <f t="shared" si="3"/>
        <v>0.55248423637814126</v>
      </c>
      <c r="J16"/>
      <c r="K16"/>
      <c r="L16"/>
      <c r="M16"/>
    </row>
    <row r="17" spans="1:13" s="1" customFormat="1" ht="14.65" thickBot="1" x14ac:dyDescent="0.5">
      <c r="A17" s="72">
        <v>4</v>
      </c>
      <c r="B17" s="72">
        <v>4</v>
      </c>
      <c r="C17" s="130">
        <v>16</v>
      </c>
      <c r="D17" s="131">
        <v>2</v>
      </c>
      <c r="E17" s="116">
        <f t="shared" si="2"/>
        <v>1.7270456447171023</v>
      </c>
      <c r="F17" s="132">
        <f>$K$1*D17/H13+(1-$K$1)*(F16+G16)</f>
        <v>9.0488275677688055</v>
      </c>
      <c r="G17" s="132">
        <f t="shared" si="0"/>
        <v>0.42627318234839784</v>
      </c>
      <c r="H17" s="133">
        <f>$K$3*(D17/F17)+(1-$K$3)*H13</f>
        <v>0.21740335558754836</v>
      </c>
      <c r="J17"/>
      <c r="K17"/>
      <c r="L17"/>
      <c r="M17"/>
    </row>
    <row r="18" spans="1:13" s="1" customFormat="1" x14ac:dyDescent="0.45">
      <c r="A18" s="72">
        <v>5</v>
      </c>
      <c r="B18" s="72">
        <v>1</v>
      </c>
      <c r="C18" s="123">
        <v>17</v>
      </c>
      <c r="D18" s="124">
        <v>17</v>
      </c>
      <c r="E18" s="116">
        <f>(F17+G17)*H14</f>
        <v>18.455598561415897</v>
      </c>
      <c r="F18" s="126">
        <f>$K$1*D18/H14+(1-$K$1)*(F17+G17)</f>
        <v>8.8772575330470023</v>
      </c>
      <c r="G18" s="126">
        <f t="shared" si="0"/>
        <v>0.36648886064137776</v>
      </c>
      <c r="H18" s="127">
        <f>$K$3*(D18/F18)+(1-$K$3)*H14</f>
        <v>1.9346821654586972</v>
      </c>
      <c r="J18"/>
      <c r="K18"/>
      <c r="L18"/>
      <c r="M18"/>
    </row>
    <row r="19" spans="1:13" s="1" customFormat="1" x14ac:dyDescent="0.45">
      <c r="A19" s="72">
        <v>5</v>
      </c>
      <c r="B19" s="72">
        <v>2</v>
      </c>
      <c r="C19" s="128">
        <v>18</v>
      </c>
      <c r="D19" s="15">
        <v>9</v>
      </c>
      <c r="E19" s="116">
        <f t="shared" si="2"/>
        <v>10.166882418156302</v>
      </c>
      <c r="F19" s="117">
        <f t="shared" si="1"/>
        <v>8.3950012463713932</v>
      </c>
      <c r="G19" s="117">
        <f t="shared" si="0"/>
        <v>0.2816143459096791</v>
      </c>
      <c r="H19" s="129">
        <f t="shared" si="3"/>
        <v>1.0887462219412283</v>
      </c>
      <c r="J19"/>
      <c r="K19"/>
      <c r="L19"/>
      <c r="M19"/>
    </row>
    <row r="20" spans="1:13" s="1" customFormat="1" x14ac:dyDescent="0.45">
      <c r="A20" s="72">
        <v>5</v>
      </c>
      <c r="B20" s="72">
        <v>3</v>
      </c>
      <c r="C20" s="128">
        <v>19</v>
      </c>
      <c r="D20" s="15">
        <v>5</v>
      </c>
      <c r="E20" s="116">
        <f t="shared" si="2"/>
        <v>4.7936933398480823</v>
      </c>
      <c r="F20" s="117">
        <f t="shared" si="1"/>
        <v>8.9753486913528278</v>
      </c>
      <c r="G20" s="117">
        <f t="shared" si="0"/>
        <v>0.31148765581685461</v>
      </c>
      <c r="H20" s="129">
        <f t="shared" si="3"/>
        <v>0.55432311009544366</v>
      </c>
      <c r="J20"/>
      <c r="K20"/>
      <c r="L20"/>
      <c r="M20"/>
    </row>
    <row r="21" spans="1:13" s="1" customFormat="1" ht="14.65" thickBot="1" x14ac:dyDescent="0.5">
      <c r="A21" s="72">
        <v>5</v>
      </c>
      <c r="B21" s="72">
        <v>4</v>
      </c>
      <c r="C21" s="130">
        <v>20</v>
      </c>
      <c r="D21" s="131">
        <v>1</v>
      </c>
      <c r="E21" s="116">
        <f>(F20+G20)*H17</f>
        <v>2.0189893846670994</v>
      </c>
      <c r="F21" s="132">
        <f>$K$1*D21/H17+(1-$K$1)*(F20+G20)</f>
        <v>5.5371632773563615</v>
      </c>
      <c r="G21" s="132">
        <f>$K$2*(F21-F20)+(1-$K$2)*G20</f>
        <v>-6.3479651164477457E-2</v>
      </c>
      <c r="H21" s="133">
        <f t="shared" si="3"/>
        <v>0.20268116902918337</v>
      </c>
      <c r="J21"/>
      <c r="K21"/>
      <c r="L21"/>
      <c r="M21"/>
    </row>
    <row r="22" spans="1:13" x14ac:dyDescent="0.45">
      <c r="A22" s="72">
        <v>6</v>
      </c>
      <c r="B22" s="72">
        <v>1</v>
      </c>
      <c r="C22" s="122">
        <v>21</v>
      </c>
      <c r="D22" s="74"/>
      <c r="E22" s="116">
        <f>(F21+G21)*H18</f>
        <v>10.589838090956729</v>
      </c>
      <c r="F22" s="140"/>
      <c r="G22" s="140"/>
      <c r="H22" s="141"/>
    </row>
    <row r="23" spans="1:13" x14ac:dyDescent="0.45">
      <c r="A23" s="72">
        <v>6</v>
      </c>
      <c r="B23" s="72">
        <v>2</v>
      </c>
      <c r="C23" s="53">
        <v>22</v>
      </c>
      <c r="D23" s="74"/>
      <c r="E23" s="116">
        <f>(F$21+G$21)*H19</f>
        <v>5.9594523681179767</v>
      </c>
      <c r="F23" s="118"/>
      <c r="G23" s="118"/>
      <c r="H23" s="119"/>
    </row>
    <row r="24" spans="1:13" x14ac:dyDescent="0.45">
      <c r="A24" s="72">
        <v>6</v>
      </c>
      <c r="B24" s="72">
        <v>3</v>
      </c>
      <c r="C24" s="53">
        <v>23</v>
      </c>
      <c r="D24" s="74"/>
      <c r="E24" s="116">
        <f>(F$21+G$21)*H20</f>
        <v>3.0341893313491912</v>
      </c>
      <c r="F24" s="118"/>
      <c r="G24" s="118"/>
      <c r="H24" s="119"/>
    </row>
    <row r="25" spans="1:13" x14ac:dyDescent="0.45">
      <c r="A25" s="72">
        <v>6</v>
      </c>
      <c r="B25" s="72">
        <v>4</v>
      </c>
      <c r="C25" s="53">
        <v>24</v>
      </c>
      <c r="D25" s="74"/>
      <c r="E25" s="116">
        <f>(F$21+G$21)*H21</f>
        <v>1.1094125962524708</v>
      </c>
      <c r="F25" s="118"/>
      <c r="G25" s="118"/>
      <c r="H25" s="119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5"/>
  <sheetViews>
    <sheetView showGridLines="0" topLeftCell="A7" zoomScaleNormal="100" workbookViewId="0">
      <selection activeCell="P29" sqref="P29"/>
    </sheetView>
  </sheetViews>
  <sheetFormatPr baseColWidth="10" defaultColWidth="8.86328125" defaultRowHeight="14.25" x14ac:dyDescent="0.45"/>
  <cols>
    <col min="1" max="1" width="9.265625" bestFit="1" customWidth="1"/>
    <col min="2" max="2" width="10.73046875" style="1" bestFit="1" customWidth="1"/>
    <col min="3" max="3" width="10.265625" style="1" bestFit="1" customWidth="1"/>
    <col min="4" max="4" width="11" style="1" bestFit="1" customWidth="1"/>
    <col min="5" max="5" width="9.3984375" style="1" bestFit="1" customWidth="1"/>
    <col min="6" max="6" width="9.3984375" style="5" customWidth="1"/>
    <col min="7" max="7" width="9.1328125" style="1"/>
    <col min="10" max="10" width="11" bestFit="1" customWidth="1"/>
  </cols>
  <sheetData>
    <row r="1" spans="1:11" x14ac:dyDescent="0.45">
      <c r="A1" s="14" t="s">
        <v>0</v>
      </c>
      <c r="B1" s="56" t="s">
        <v>1</v>
      </c>
      <c r="C1" s="56" t="s">
        <v>2</v>
      </c>
      <c r="D1" s="56" t="s">
        <v>27</v>
      </c>
      <c r="E1" s="56" t="s">
        <v>28</v>
      </c>
      <c r="F1" s="56" t="s">
        <v>33</v>
      </c>
      <c r="H1" s="3" t="s">
        <v>26</v>
      </c>
      <c r="I1" s="4">
        <v>0.8</v>
      </c>
      <c r="J1" t="s">
        <v>35</v>
      </c>
      <c r="K1" s="6"/>
    </row>
    <row r="2" spans="1:11" x14ac:dyDescent="0.45">
      <c r="A2" s="73">
        <v>1</v>
      </c>
      <c r="B2" s="147">
        <v>14</v>
      </c>
      <c r="C2" s="149"/>
      <c r="D2" s="148">
        <f>B2-F2</f>
        <v>5.5</v>
      </c>
      <c r="E2" s="148">
        <f>(B3-F3)-(B2-F2)</f>
        <v>3.1999999999999993</v>
      </c>
      <c r="F2" s="148">
        <f>ROUND(AVERAGE(B2,B6,B10,B14,B18)-AVERAGE($B$2:$B$21),1)</f>
        <v>8.5</v>
      </c>
      <c r="H2" s="3" t="s">
        <v>29</v>
      </c>
      <c r="I2" s="4">
        <v>0.1</v>
      </c>
      <c r="K2" s="7"/>
    </row>
    <row r="3" spans="1:11" x14ac:dyDescent="0.45">
      <c r="A3" s="73">
        <v>2</v>
      </c>
      <c r="B3" s="147">
        <v>10</v>
      </c>
      <c r="C3" s="53">
        <f>D2+E2+F3</f>
        <v>10</v>
      </c>
      <c r="D3" s="57">
        <f>$I$1*(B3-F3)+(1-$I$1)*(D2+E2)</f>
        <v>8.6999999999999993</v>
      </c>
      <c r="E3" s="57">
        <f>$I$2*(D3-D2)+(1-$I$2)*E2</f>
        <v>3.1999999999999993</v>
      </c>
      <c r="F3" s="148">
        <f>ROUND(AVERAGE(B3,B7,B11,B15,B19)-AVERAGE($B$2:$B$21),1)</f>
        <v>1.3</v>
      </c>
      <c r="H3" s="3" t="s">
        <v>34</v>
      </c>
      <c r="I3" s="4">
        <v>0.4</v>
      </c>
      <c r="K3" s="7"/>
    </row>
    <row r="4" spans="1:11" x14ac:dyDescent="0.45">
      <c r="A4" s="73">
        <v>3</v>
      </c>
      <c r="B4" s="147">
        <v>6</v>
      </c>
      <c r="C4" s="53">
        <f t="shared" ref="C4:C5" si="0">(D3+E3)+F4</f>
        <v>8.4999999999999982</v>
      </c>
      <c r="D4" s="57">
        <f>$I$1*(B4-F4)+(1-$I$1)*(D3+E3)</f>
        <v>9.8999999999999986</v>
      </c>
      <c r="E4" s="57">
        <f>$I$2*(D4-D3)+(1-$I$2)*E3</f>
        <v>2.9999999999999996</v>
      </c>
      <c r="F4" s="148">
        <f t="shared" ref="F4:F5" si="1">ROUND(AVERAGE(B4,B8,B12,B16,B20)-AVERAGE($B$2:$B$21),1)</f>
        <v>-3.4</v>
      </c>
      <c r="K4" s="7"/>
    </row>
    <row r="5" spans="1:11" x14ac:dyDescent="0.45">
      <c r="A5" s="73">
        <v>4</v>
      </c>
      <c r="B5" s="147">
        <v>2</v>
      </c>
      <c r="C5" s="53">
        <f t="shared" si="0"/>
        <v>6.4999999999999982</v>
      </c>
      <c r="D5" s="57">
        <f>$I$1*(B5-F5)+(1-$I$1)*(D4+E4)</f>
        <v>9.3000000000000007</v>
      </c>
      <c r="E5" s="57">
        <f>$I$2*(D5-D4)+(1-$I$2)*E4</f>
        <v>2.64</v>
      </c>
      <c r="F5" s="148">
        <f t="shared" si="1"/>
        <v>-6.4</v>
      </c>
    </row>
    <row r="6" spans="1:11" x14ac:dyDescent="0.45">
      <c r="A6" s="73">
        <v>5</v>
      </c>
      <c r="B6" s="147">
        <v>18</v>
      </c>
      <c r="C6" s="53">
        <f>D5+E5+F2</f>
        <v>20.440000000000001</v>
      </c>
      <c r="D6" s="57">
        <f>$I$1*(B6-F2)+(1-$I$1)*(D5+E5)</f>
        <v>9.9879999999999995</v>
      </c>
      <c r="E6" s="57">
        <f>$I$2*(D6-D5)+(1-$I$2)*E5</f>
        <v>2.4448000000000003</v>
      </c>
      <c r="F6" s="57">
        <f>$I$3*(B6-D6)+(1-$I$3)*F2</f>
        <v>8.3048000000000002</v>
      </c>
    </row>
    <row r="7" spans="1:11" x14ac:dyDescent="0.45">
      <c r="A7" s="73">
        <v>6</v>
      </c>
      <c r="B7" s="147">
        <v>8</v>
      </c>
      <c r="C7" s="53">
        <f>D6+E6+F3</f>
        <v>13.732800000000001</v>
      </c>
      <c r="D7" s="57">
        <f t="shared" ref="D7:D15" si="2">$I$1*(B7-F3)+(1-$I$1)*(D6+E6)</f>
        <v>7.8465600000000002</v>
      </c>
      <c r="E7" s="57">
        <f t="shared" ref="E7:E21" si="3">$I$2*(D7-D6)+(1-$I$2)*E6</f>
        <v>1.9861760000000006</v>
      </c>
      <c r="F7" s="57">
        <f>$I$3*(B7-D7)+(1-$I$3)*F3</f>
        <v>0.8413759999999999</v>
      </c>
    </row>
    <row r="8" spans="1:11" s="1" customFormat="1" x14ac:dyDescent="0.45">
      <c r="A8" s="73">
        <v>7</v>
      </c>
      <c r="B8" s="147">
        <v>4</v>
      </c>
      <c r="C8" s="53">
        <f>D7+E7+F4</f>
        <v>6.4327360000000002</v>
      </c>
      <c r="D8" s="57">
        <f t="shared" si="2"/>
        <v>7.8865472000000008</v>
      </c>
      <c r="E8" s="57">
        <f t="shared" si="3"/>
        <v>1.7915571200000007</v>
      </c>
      <c r="F8" s="57">
        <f>$I$3*(B8-D8)+(1-$I$3)*F4</f>
        <v>-3.5946188800000005</v>
      </c>
      <c r="H8"/>
      <c r="I8"/>
      <c r="J8"/>
      <c r="K8"/>
    </row>
    <row r="9" spans="1:11" s="1" customFormat="1" x14ac:dyDescent="0.45">
      <c r="A9" s="73">
        <v>8</v>
      </c>
      <c r="B9" s="147">
        <v>1</v>
      </c>
      <c r="C9" s="53">
        <f t="shared" ref="C9:C25" si="4">D8+E8+F5</f>
        <v>3.2781043200000006</v>
      </c>
      <c r="D9" s="57">
        <f t="shared" si="2"/>
        <v>7.8556208640000005</v>
      </c>
      <c r="E9" s="57">
        <f t="shared" si="3"/>
        <v>1.6093087744000005</v>
      </c>
      <c r="F9" s="57">
        <f t="shared" ref="F9:F21" si="5">$I$3*(B9-D9)+(1-$I$3)*F5</f>
        <v>-6.5822483456000001</v>
      </c>
      <c r="H9"/>
      <c r="I9"/>
      <c r="J9"/>
      <c r="K9"/>
    </row>
    <row r="10" spans="1:11" s="1" customFormat="1" x14ac:dyDescent="0.45">
      <c r="A10" s="73">
        <v>9</v>
      </c>
      <c r="B10" s="147">
        <v>16</v>
      </c>
      <c r="C10" s="53">
        <f t="shared" si="4"/>
        <v>17.769729638400001</v>
      </c>
      <c r="D10" s="57">
        <f t="shared" si="2"/>
        <v>8.0491459276799997</v>
      </c>
      <c r="E10" s="57">
        <f t="shared" si="3"/>
        <v>1.4677304033280005</v>
      </c>
      <c r="F10" s="57">
        <f t="shared" si="5"/>
        <v>8.1632216289279995</v>
      </c>
      <c r="H10"/>
      <c r="I10"/>
      <c r="J10"/>
      <c r="K10"/>
    </row>
    <row r="11" spans="1:11" s="1" customFormat="1" x14ac:dyDescent="0.45">
      <c r="A11" s="73">
        <v>10</v>
      </c>
      <c r="B11" s="147">
        <v>9</v>
      </c>
      <c r="C11" s="53">
        <f t="shared" si="4"/>
        <v>10.358252331008</v>
      </c>
      <c r="D11" s="57">
        <f t="shared" si="2"/>
        <v>8.4302744662015989</v>
      </c>
      <c r="E11" s="57">
        <f t="shared" si="3"/>
        <v>1.3590702168473605</v>
      </c>
      <c r="F11" s="57">
        <f t="shared" si="5"/>
        <v>0.73271581351936033</v>
      </c>
      <c r="H11"/>
      <c r="I11"/>
      <c r="J11"/>
      <c r="K11"/>
    </row>
    <row r="12" spans="1:11" s="1" customFormat="1" x14ac:dyDescent="0.45">
      <c r="A12" s="73">
        <v>11</v>
      </c>
      <c r="B12" s="147">
        <v>5</v>
      </c>
      <c r="C12" s="53">
        <f t="shared" si="4"/>
        <v>6.1947258030489589</v>
      </c>
      <c r="D12" s="57">
        <f t="shared" si="2"/>
        <v>8.8335640406097919</v>
      </c>
      <c r="E12" s="57">
        <f t="shared" si="3"/>
        <v>1.2634921526034437</v>
      </c>
      <c r="F12" s="57">
        <f t="shared" si="5"/>
        <v>-3.6901969442439171</v>
      </c>
      <c r="H12"/>
      <c r="I12"/>
      <c r="J12"/>
      <c r="K12"/>
    </row>
    <row r="13" spans="1:11" s="1" customFormat="1" x14ac:dyDescent="0.45">
      <c r="A13" s="73">
        <v>12</v>
      </c>
      <c r="B13" s="147">
        <v>3</v>
      </c>
      <c r="C13" s="53">
        <f t="shared" si="4"/>
        <v>3.5148078476132358</v>
      </c>
      <c r="D13" s="57">
        <f t="shared" si="2"/>
        <v>9.6852099151226483</v>
      </c>
      <c r="E13" s="57">
        <f t="shared" si="3"/>
        <v>1.2223075247943851</v>
      </c>
      <c r="F13" s="57">
        <f t="shared" si="5"/>
        <v>-6.6234329734090593</v>
      </c>
      <c r="H13"/>
      <c r="I13"/>
      <c r="J13"/>
      <c r="K13"/>
    </row>
    <row r="14" spans="1:11" s="1" customFormat="1" x14ac:dyDescent="0.45">
      <c r="A14" s="73">
        <v>13</v>
      </c>
      <c r="B14" s="147">
        <v>18</v>
      </c>
      <c r="C14" s="53">
        <f t="shared" si="4"/>
        <v>19.070739068845032</v>
      </c>
      <c r="D14" s="57">
        <f t="shared" si="2"/>
        <v>10.050926184841007</v>
      </c>
      <c r="E14" s="57">
        <f t="shared" si="3"/>
        <v>1.1366483992867826</v>
      </c>
      <c r="F14" s="57">
        <f t="shared" si="5"/>
        <v>8.0775625034203973</v>
      </c>
      <c r="H14"/>
      <c r="I14"/>
      <c r="J14"/>
      <c r="K14"/>
    </row>
    <row r="15" spans="1:11" s="1" customFormat="1" x14ac:dyDescent="0.45">
      <c r="A15" s="73">
        <v>14</v>
      </c>
      <c r="B15" s="147">
        <v>11</v>
      </c>
      <c r="C15" s="53">
        <f t="shared" si="4"/>
        <v>11.92029039764715</v>
      </c>
      <c r="D15" s="57">
        <f t="shared" si="2"/>
        <v>10.451342266010068</v>
      </c>
      <c r="E15" s="57">
        <f t="shared" si="3"/>
        <v>1.0630251674750106</v>
      </c>
      <c r="F15" s="57">
        <f t="shared" si="5"/>
        <v>0.65909258170758911</v>
      </c>
      <c r="H15"/>
      <c r="I15"/>
      <c r="J15"/>
      <c r="K15"/>
    </row>
    <row r="16" spans="1:11" s="1" customFormat="1" x14ac:dyDescent="0.45">
      <c r="A16" s="73">
        <v>15</v>
      </c>
      <c r="B16" s="147">
        <v>4</v>
      </c>
      <c r="C16" s="53">
        <f t="shared" si="4"/>
        <v>7.8241704892411619</v>
      </c>
      <c r="D16" s="57">
        <f t="shared" ref="D16:D21" si="6">$I$1*(B16-F12)+(1-$I$1)*(D15+E15)</f>
        <v>8.4550310420921484</v>
      </c>
      <c r="E16" s="57">
        <f t="shared" si="3"/>
        <v>0.75709152833571769</v>
      </c>
      <c r="F16" s="57">
        <f t="shared" si="5"/>
        <v>-3.9961305833832093</v>
      </c>
      <c r="H16"/>
      <c r="I16"/>
      <c r="J16"/>
      <c r="K16"/>
    </row>
    <row r="17" spans="1:11" s="1" customFormat="1" x14ac:dyDescent="0.45">
      <c r="A17" s="73">
        <v>16</v>
      </c>
      <c r="B17" s="147">
        <v>2</v>
      </c>
      <c r="C17" s="53">
        <f t="shared" si="4"/>
        <v>2.5886895970188064</v>
      </c>
      <c r="D17" s="57">
        <f t="shared" si="6"/>
        <v>8.7411708928128213</v>
      </c>
      <c r="E17" s="57">
        <f t="shared" si="3"/>
        <v>0.70999636057421323</v>
      </c>
      <c r="F17" s="57">
        <f t="shared" si="5"/>
        <v>-6.6705281411705641</v>
      </c>
      <c r="H17"/>
      <c r="I17"/>
      <c r="J17"/>
      <c r="K17"/>
    </row>
    <row r="18" spans="1:11" s="1" customFormat="1" x14ac:dyDescent="0.45">
      <c r="A18" s="73">
        <v>17</v>
      </c>
      <c r="B18" s="147">
        <v>17</v>
      </c>
      <c r="C18" s="53">
        <f t="shared" si="4"/>
        <v>17.528729756807429</v>
      </c>
      <c r="D18" s="57">
        <f t="shared" si="6"/>
        <v>9.028183447941089</v>
      </c>
      <c r="E18" s="57">
        <f t="shared" si="3"/>
        <v>0.66769798002961867</v>
      </c>
      <c r="F18" s="57">
        <f t="shared" si="5"/>
        <v>8.0352641228758035</v>
      </c>
      <c r="H18"/>
      <c r="I18"/>
      <c r="J18"/>
      <c r="K18"/>
    </row>
    <row r="19" spans="1:11" s="1" customFormat="1" x14ac:dyDescent="0.45">
      <c r="A19" s="73">
        <v>18</v>
      </c>
      <c r="B19" s="147">
        <v>9</v>
      </c>
      <c r="C19" s="53">
        <f t="shared" si="4"/>
        <v>10.354974009678298</v>
      </c>
      <c r="D19" s="57">
        <f t="shared" si="6"/>
        <v>8.6119022202280693</v>
      </c>
      <c r="E19" s="57">
        <f t="shared" si="3"/>
        <v>0.55930005925535475</v>
      </c>
      <c r="F19" s="57">
        <f t="shared" si="5"/>
        <v>0.55069466093332575</v>
      </c>
      <c r="H19"/>
      <c r="I19"/>
      <c r="J19"/>
      <c r="K19"/>
    </row>
    <row r="20" spans="1:11" s="1" customFormat="1" x14ac:dyDescent="0.45">
      <c r="A20" s="73">
        <v>19</v>
      </c>
      <c r="B20" s="147">
        <v>5</v>
      </c>
      <c r="C20" s="53">
        <f t="shared" si="4"/>
        <v>5.1750716961002148</v>
      </c>
      <c r="D20" s="57">
        <f t="shared" si="6"/>
        <v>9.0311449226032519</v>
      </c>
      <c r="E20" s="57">
        <f t="shared" si="3"/>
        <v>0.54529432356733754</v>
      </c>
      <c r="F20" s="57">
        <f t="shared" si="5"/>
        <v>-4.0101363190712265</v>
      </c>
      <c r="H20"/>
      <c r="I20"/>
      <c r="J20"/>
      <c r="K20"/>
    </row>
    <row r="21" spans="1:11" s="1" customFormat="1" x14ac:dyDescent="0.45">
      <c r="A21" s="73">
        <v>20</v>
      </c>
      <c r="B21" s="147">
        <v>1</v>
      </c>
      <c r="C21" s="53">
        <f t="shared" si="4"/>
        <v>2.9059111050000261</v>
      </c>
      <c r="D21" s="57">
        <f t="shared" si="6"/>
        <v>8.051710362170569</v>
      </c>
      <c r="E21" s="57">
        <f t="shared" si="3"/>
        <v>0.39282143516733548</v>
      </c>
      <c r="F21" s="57">
        <f t="shared" si="5"/>
        <v>-6.8230010295705661</v>
      </c>
      <c r="H21"/>
      <c r="I21"/>
      <c r="J21"/>
      <c r="K21"/>
    </row>
    <row r="22" spans="1:11" x14ac:dyDescent="0.45">
      <c r="A22" s="73">
        <v>21</v>
      </c>
      <c r="C22" s="53">
        <f t="shared" si="4"/>
        <v>16.479795920213707</v>
      </c>
      <c r="D22" s="57">
        <f>D21+E21</f>
        <v>8.4445317973379037</v>
      </c>
      <c r="E22" s="57">
        <f>E21</f>
        <v>0.39282143516733548</v>
      </c>
      <c r="F22" s="57">
        <f>F18</f>
        <v>8.0352641228758035</v>
      </c>
    </row>
    <row r="23" spans="1:11" x14ac:dyDescent="0.45">
      <c r="A23" s="73">
        <v>22</v>
      </c>
      <c r="C23" s="53">
        <f t="shared" si="4"/>
        <v>9.3880478934385643</v>
      </c>
      <c r="D23" s="57">
        <f>D22+E22</f>
        <v>8.8373532325052384</v>
      </c>
      <c r="E23" s="57">
        <f t="shared" ref="E23:E25" si="7">E22</f>
        <v>0.39282143516733548</v>
      </c>
      <c r="F23" s="57">
        <f t="shared" ref="F23:F25" si="8">F19</f>
        <v>0.55069466093332575</v>
      </c>
    </row>
    <row r="24" spans="1:11" x14ac:dyDescent="0.45">
      <c r="A24" s="73">
        <v>23</v>
      </c>
      <c r="C24" s="53">
        <f t="shared" si="4"/>
        <v>5.2200383486013466</v>
      </c>
      <c r="D24" s="57">
        <f>D23+E23</f>
        <v>9.2301746676725731</v>
      </c>
      <c r="E24" s="57">
        <f t="shared" si="7"/>
        <v>0.39282143516733548</v>
      </c>
      <c r="F24" s="57">
        <f t="shared" si="8"/>
        <v>-4.0101363190712265</v>
      </c>
    </row>
    <row r="25" spans="1:11" x14ac:dyDescent="0.45">
      <c r="A25" s="73">
        <v>24</v>
      </c>
      <c r="C25" s="53">
        <f t="shared" si="4"/>
        <v>2.7999950732693417</v>
      </c>
      <c r="D25" s="57">
        <f>D24+E24</f>
        <v>9.6229961028399078</v>
      </c>
      <c r="E25" s="57">
        <f t="shared" si="7"/>
        <v>0.39282143516733548</v>
      </c>
      <c r="F25" s="57">
        <f t="shared" si="8"/>
        <v>-6.8230010295705661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56E2-6BF5-415B-96ED-BAEA54D3B700}">
  <dimension ref="A1:S25"/>
  <sheetViews>
    <sheetView showGridLines="0" topLeftCell="A6" zoomScale="85" zoomScaleNormal="85" workbookViewId="0">
      <selection activeCell="M22" sqref="M22"/>
    </sheetView>
  </sheetViews>
  <sheetFormatPr baseColWidth="10" defaultColWidth="8.86328125" defaultRowHeight="14.25" x14ac:dyDescent="0.45"/>
  <cols>
    <col min="1" max="1" width="17.3984375" customWidth="1"/>
    <col min="2" max="5" width="23.3984375" customWidth="1"/>
    <col min="12" max="12" width="9.73046875" bestFit="1" customWidth="1"/>
  </cols>
  <sheetData>
    <row r="1" spans="1:16" ht="51.75" customHeight="1" x14ac:dyDescent="0.45">
      <c r="A1" s="162" t="s">
        <v>36</v>
      </c>
      <c r="B1" s="162" t="s">
        <v>37</v>
      </c>
      <c r="C1" s="162" t="s">
        <v>38</v>
      </c>
      <c r="D1" s="49" t="s">
        <v>39</v>
      </c>
      <c r="E1" s="49" t="s">
        <v>40</v>
      </c>
      <c r="F1" s="172" t="s">
        <v>126</v>
      </c>
      <c r="G1" s="172" t="s">
        <v>127</v>
      </c>
      <c r="H1" s="172" t="s">
        <v>128</v>
      </c>
    </row>
    <row r="2" spans="1:16" ht="15.4" x14ac:dyDescent="0.45">
      <c r="A2" s="25">
        <v>1</v>
      </c>
      <c r="B2" s="25">
        <v>1</v>
      </c>
      <c r="C2" s="26">
        <v>2</v>
      </c>
      <c r="D2" s="50">
        <f>B2^2</f>
        <v>1</v>
      </c>
      <c r="E2" s="51">
        <f>C2*B2</f>
        <v>2</v>
      </c>
      <c r="F2">
        <f>AVERAGE(B2:B9)</f>
        <v>3.5</v>
      </c>
      <c r="G2" s="173">
        <f>AVERAGE(C2:C9)</f>
        <v>3.2749999999999999</v>
      </c>
      <c r="H2">
        <f>COUNT(B2:B9)</f>
        <v>8</v>
      </c>
    </row>
    <row r="3" spans="1:16" ht="15.4" x14ac:dyDescent="0.45">
      <c r="A3" s="25">
        <v>2</v>
      </c>
      <c r="B3" s="25">
        <v>3</v>
      </c>
      <c r="C3" s="26">
        <v>3</v>
      </c>
      <c r="D3" s="50">
        <f t="shared" ref="D3:D9" si="0">B3^2</f>
        <v>9</v>
      </c>
      <c r="E3" s="51">
        <f t="shared" ref="E3:E9" si="1">C3*B3</f>
        <v>9</v>
      </c>
    </row>
    <row r="4" spans="1:16" ht="15.4" x14ac:dyDescent="0.45">
      <c r="A4" s="25">
        <v>3</v>
      </c>
      <c r="B4" s="25">
        <v>2</v>
      </c>
      <c r="C4" s="26">
        <v>2.4</v>
      </c>
      <c r="D4" s="50">
        <f t="shared" si="0"/>
        <v>4</v>
      </c>
      <c r="E4" s="51">
        <f t="shared" si="1"/>
        <v>4.8</v>
      </c>
      <c r="K4" t="s">
        <v>41</v>
      </c>
    </row>
    <row r="5" spans="1:16" ht="15.75" thickBot="1" x14ac:dyDescent="0.5">
      <c r="A5" s="25">
        <v>4</v>
      </c>
      <c r="B5" s="25">
        <v>3</v>
      </c>
      <c r="C5" s="26">
        <v>3.1</v>
      </c>
      <c r="D5" s="50">
        <f t="shared" si="0"/>
        <v>9</v>
      </c>
      <c r="E5" s="51">
        <f t="shared" si="1"/>
        <v>9.3000000000000007</v>
      </c>
    </row>
    <row r="6" spans="1:16" ht="15.4" x14ac:dyDescent="0.45">
      <c r="A6" s="25">
        <v>5</v>
      </c>
      <c r="B6" s="25">
        <v>4</v>
      </c>
      <c r="C6" s="26">
        <v>3.7</v>
      </c>
      <c r="D6" s="50">
        <f t="shared" si="0"/>
        <v>16</v>
      </c>
      <c r="E6" s="51">
        <f t="shared" si="1"/>
        <v>14.8</v>
      </c>
      <c r="K6" s="158" t="s">
        <v>42</v>
      </c>
      <c r="L6" s="158"/>
    </row>
    <row r="7" spans="1:16" ht="15.4" x14ac:dyDescent="0.45">
      <c r="A7" s="25">
        <v>6</v>
      </c>
      <c r="B7" s="25">
        <v>6</v>
      </c>
      <c r="C7" s="26">
        <v>4.5</v>
      </c>
      <c r="D7" s="50">
        <f t="shared" si="0"/>
        <v>36</v>
      </c>
      <c r="E7" s="51">
        <f t="shared" si="1"/>
        <v>27</v>
      </c>
      <c r="K7" t="s">
        <v>43</v>
      </c>
      <c r="L7">
        <v>0.99443480052579969</v>
      </c>
    </row>
    <row r="8" spans="1:16" ht="15.4" x14ac:dyDescent="0.45">
      <c r="A8" s="25">
        <v>7</v>
      </c>
      <c r="B8" s="25">
        <v>5</v>
      </c>
      <c r="C8" s="26">
        <v>4</v>
      </c>
      <c r="D8" s="50">
        <f t="shared" si="0"/>
        <v>25</v>
      </c>
      <c r="E8" s="51">
        <f t="shared" si="1"/>
        <v>20</v>
      </c>
      <c r="K8" t="s">
        <v>44</v>
      </c>
      <c r="L8">
        <v>0.98890057249678698</v>
      </c>
    </row>
    <row r="9" spans="1:16" ht="15.4" x14ac:dyDescent="0.45">
      <c r="A9" s="25">
        <v>8</v>
      </c>
      <c r="B9" s="25">
        <v>4</v>
      </c>
      <c r="C9" s="26">
        <v>3.5</v>
      </c>
      <c r="D9" s="50">
        <f t="shared" si="0"/>
        <v>16</v>
      </c>
      <c r="E9" s="51">
        <f t="shared" si="1"/>
        <v>14</v>
      </c>
      <c r="K9" t="s">
        <v>45</v>
      </c>
      <c r="L9">
        <v>0.98705066791291818</v>
      </c>
    </row>
    <row r="10" spans="1:16" ht="15.4" x14ac:dyDescent="0.45">
      <c r="A10" s="40" t="s">
        <v>46</v>
      </c>
      <c r="B10" s="41">
        <f>SUM(B2:B9)</f>
        <v>28</v>
      </c>
      <c r="C10" s="42" t="s">
        <v>47</v>
      </c>
      <c r="D10" s="43">
        <f>SUM(D2:D9)</f>
        <v>116</v>
      </c>
      <c r="E10" s="44"/>
      <c r="K10" t="s">
        <v>48</v>
      </c>
      <c r="L10">
        <v>9.3788572311856361E-2</v>
      </c>
    </row>
    <row r="11" spans="1:16" ht="15.75" thickBot="1" x14ac:dyDescent="0.5">
      <c r="A11" s="20"/>
      <c r="B11" s="45" t="s">
        <v>49</v>
      </c>
      <c r="C11" s="46">
        <f>SUM(C2:C10)</f>
        <v>26.2</v>
      </c>
      <c r="D11" s="47" t="s">
        <v>50</v>
      </c>
      <c r="E11" s="48">
        <f>SUM(E2:E10)</f>
        <v>100.9</v>
      </c>
      <c r="K11" s="156" t="s">
        <v>51</v>
      </c>
      <c r="L11" s="156">
        <v>8</v>
      </c>
    </row>
    <row r="13" spans="1:16" ht="15.75" thickBot="1" x14ac:dyDescent="0.5">
      <c r="B13" s="34" t="s">
        <v>52</v>
      </c>
      <c r="C13" s="39">
        <f>SLOPE(C2:C9,B2:B9)</f>
        <v>0.51111111111111118</v>
      </c>
      <c r="E13" t="s">
        <v>125</v>
      </c>
      <c r="F13">
        <f>(E11-H2*G2*F2)/(D10-H2*F2*F2)</f>
        <v>0.51111111111111129</v>
      </c>
      <c r="K13" t="s">
        <v>53</v>
      </c>
    </row>
    <row r="14" spans="1:16" ht="15.75" x14ac:dyDescent="0.45">
      <c r="B14" s="163" t="s">
        <v>54</v>
      </c>
      <c r="C14" s="39">
        <f>INTERCEPT(C2:C9,B2:B9)</f>
        <v>1.4861111111111107</v>
      </c>
      <c r="D14" s="20"/>
      <c r="E14" s="20"/>
      <c r="K14" s="157"/>
      <c r="L14" s="157" t="s">
        <v>55</v>
      </c>
      <c r="M14" s="157" t="s">
        <v>56</v>
      </c>
      <c r="N14" s="157" t="s">
        <v>57</v>
      </c>
      <c r="O14" s="157" t="s">
        <v>58</v>
      </c>
      <c r="P14" s="157" t="s">
        <v>59</v>
      </c>
    </row>
    <row r="15" spans="1:16" x14ac:dyDescent="0.45">
      <c r="K15" t="s">
        <v>60</v>
      </c>
      <c r="L15">
        <v>1</v>
      </c>
      <c r="M15">
        <v>4.7022222222222227</v>
      </c>
      <c r="N15">
        <v>4.7022222222222227</v>
      </c>
      <c r="O15">
        <v>534.56842105263081</v>
      </c>
      <c r="P15">
        <v>4.2910912101752315E-7</v>
      </c>
    </row>
    <row r="16" spans="1:16" ht="33.75" x14ac:dyDescent="0.5">
      <c r="A16" s="36" t="s">
        <v>61</v>
      </c>
      <c r="B16" s="21"/>
      <c r="C16" s="19"/>
      <c r="D16" s="19"/>
      <c r="E16" s="19"/>
      <c r="K16" t="s">
        <v>62</v>
      </c>
      <c r="L16">
        <v>6</v>
      </c>
      <c r="M16">
        <v>5.2777777777777861E-2</v>
      </c>
      <c r="N16">
        <v>8.7962962962963107E-3</v>
      </c>
    </row>
    <row r="17" spans="1:19" ht="15.4" thickBot="1" x14ac:dyDescent="0.5">
      <c r="A17" s="23" t="s">
        <v>63</v>
      </c>
      <c r="B17" s="23" t="s">
        <v>64</v>
      </c>
      <c r="C17" s="23" t="s">
        <v>65</v>
      </c>
      <c r="D17" s="23" t="s">
        <v>66</v>
      </c>
      <c r="E17" s="20"/>
      <c r="K17" s="156" t="s">
        <v>67</v>
      </c>
      <c r="L17" s="156">
        <v>7</v>
      </c>
      <c r="M17" s="156">
        <v>4.7550000000000008</v>
      </c>
      <c r="N17" s="156"/>
      <c r="O17" s="156"/>
      <c r="P17" s="156"/>
    </row>
    <row r="18" spans="1:19" ht="15.75" thickBot="1" x14ac:dyDescent="0.5">
      <c r="A18" s="25">
        <v>3</v>
      </c>
      <c r="B18" s="61">
        <v>4</v>
      </c>
      <c r="C18" s="61">
        <v>5</v>
      </c>
      <c r="D18" s="61">
        <v>6</v>
      </c>
      <c r="E18" s="35"/>
    </row>
    <row r="19" spans="1:19" x14ac:dyDescent="0.45">
      <c r="K19" s="157"/>
      <c r="L19" s="157" t="s">
        <v>68</v>
      </c>
      <c r="M19" s="157" t="s">
        <v>48</v>
      </c>
      <c r="N19" s="157" t="s">
        <v>69</v>
      </c>
      <c r="O19" s="157" t="s">
        <v>70</v>
      </c>
      <c r="P19" s="157" t="s">
        <v>71</v>
      </c>
      <c r="Q19" s="157" t="s">
        <v>72</v>
      </c>
      <c r="R19" s="157" t="s">
        <v>73</v>
      </c>
      <c r="S19" s="157" t="s">
        <v>74</v>
      </c>
    </row>
    <row r="20" spans="1:19" ht="16.899999999999999" x14ac:dyDescent="0.45">
      <c r="A20" s="37" t="s">
        <v>2</v>
      </c>
      <c r="K20" t="s">
        <v>75</v>
      </c>
      <c r="L20" s="159">
        <v>1.4861111111111101</v>
      </c>
      <c r="M20">
        <v>8.4177819820866431E-2</v>
      </c>
      <c r="N20">
        <v>17.654426240470599</v>
      </c>
      <c r="O20">
        <v>2.1205054211898675E-6</v>
      </c>
      <c r="P20">
        <v>1.2801354061878862</v>
      </c>
      <c r="Q20">
        <v>1.6920868160343343</v>
      </c>
      <c r="R20">
        <v>1.2801354061878862</v>
      </c>
      <c r="S20">
        <v>1.6920868160343343</v>
      </c>
    </row>
    <row r="21" spans="1:19" ht="15.75" thickBot="1" x14ac:dyDescent="0.5">
      <c r="A21" s="33" t="s">
        <v>76</v>
      </c>
      <c r="B21" s="23" t="s">
        <v>2</v>
      </c>
      <c r="J21" t="s">
        <v>77</v>
      </c>
      <c r="K21" s="156" t="s">
        <v>78</v>
      </c>
      <c r="L21" s="160">
        <v>0.51111111111111129</v>
      </c>
      <c r="M21" s="156">
        <v>2.210617849317284E-2</v>
      </c>
      <c r="N21" s="156">
        <v>23.120735737701576</v>
      </c>
      <c r="O21" s="156">
        <v>4.2910912101752315E-7</v>
      </c>
      <c r="P21" s="156">
        <v>0.45701924097264063</v>
      </c>
      <c r="Q21" s="156">
        <v>0.56520298124958201</v>
      </c>
      <c r="R21" s="156">
        <v>0.45701924097264063</v>
      </c>
      <c r="S21" s="156">
        <v>0.56520298124958201</v>
      </c>
    </row>
    <row r="22" spans="1:19" ht="15.4" x14ac:dyDescent="0.45">
      <c r="A22" s="32" t="s">
        <v>79</v>
      </c>
      <c r="B22" s="38">
        <f>($C$13*A18)+$C$14</f>
        <v>3.0194444444444444</v>
      </c>
    </row>
    <row r="23" spans="1:19" ht="15.4" x14ac:dyDescent="0.45">
      <c r="A23" s="32" t="s">
        <v>64</v>
      </c>
      <c r="B23" s="38">
        <f>($C$13*B18)+$C$14</f>
        <v>3.5305555555555554</v>
      </c>
    </row>
    <row r="24" spans="1:19" ht="15.4" x14ac:dyDescent="0.45">
      <c r="A24" s="32" t="s">
        <v>65</v>
      </c>
      <c r="B24" s="38">
        <f>($C$13*C18)+$C$14</f>
        <v>4.0416666666666661</v>
      </c>
    </row>
    <row r="25" spans="1:19" ht="15.4" x14ac:dyDescent="0.45">
      <c r="A25" s="32" t="s">
        <v>65</v>
      </c>
      <c r="B25" s="38">
        <f>($C$13*D18)+$C$14</f>
        <v>4.552777777777778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916E-BEC1-45D1-A1C4-8C53C548CF15}">
  <dimension ref="A1:I31"/>
  <sheetViews>
    <sheetView showGridLines="0" workbookViewId="0">
      <selection activeCell="F4" sqref="F4"/>
    </sheetView>
  </sheetViews>
  <sheetFormatPr baseColWidth="10" defaultColWidth="8.86328125" defaultRowHeight="14.25" x14ac:dyDescent="0.45"/>
  <cols>
    <col min="1" max="1" width="17.3984375" customWidth="1"/>
    <col min="2" max="2" width="19.3984375" customWidth="1"/>
    <col min="3" max="3" width="28.1328125" customWidth="1"/>
    <col min="4" max="4" width="22.265625" customWidth="1"/>
    <col min="6" max="6" width="21" bestFit="1" customWidth="1"/>
    <col min="7" max="9" width="17.1328125" customWidth="1"/>
  </cols>
  <sheetData>
    <row r="1" spans="1:9" ht="46.5" customHeight="1" x14ac:dyDescent="0.45">
      <c r="A1" s="77" t="s">
        <v>36</v>
      </c>
      <c r="B1" s="77" t="s">
        <v>80</v>
      </c>
      <c r="C1" s="77" t="s">
        <v>81</v>
      </c>
      <c r="D1" s="77" t="s">
        <v>82</v>
      </c>
      <c r="F1" s="30" t="s">
        <v>83</v>
      </c>
      <c r="G1" s="29"/>
      <c r="H1" s="19"/>
      <c r="I1" s="19"/>
    </row>
    <row r="2" spans="1:9" ht="15" x14ac:dyDescent="0.45">
      <c r="A2" s="25">
        <v>1</v>
      </c>
      <c r="B2" s="27">
        <v>4.5</v>
      </c>
      <c r="C2" s="28">
        <v>1</v>
      </c>
      <c r="D2" s="26">
        <v>2</v>
      </c>
      <c r="F2" s="30" t="s">
        <v>84</v>
      </c>
      <c r="G2" s="20"/>
      <c r="H2" s="20"/>
      <c r="I2" s="20"/>
    </row>
    <row r="3" spans="1:9" ht="15" x14ac:dyDescent="0.45">
      <c r="A3" s="25">
        <v>2</v>
      </c>
      <c r="B3" s="27">
        <v>3.6</v>
      </c>
      <c r="C3" s="28">
        <v>3</v>
      </c>
      <c r="D3" s="26">
        <v>3</v>
      </c>
      <c r="F3" s="23" t="s">
        <v>63</v>
      </c>
      <c r="G3" s="23" t="s">
        <v>64</v>
      </c>
      <c r="H3" s="23" t="s">
        <v>65</v>
      </c>
      <c r="I3" s="23" t="s">
        <v>66</v>
      </c>
    </row>
    <row r="4" spans="1:9" ht="15" x14ac:dyDescent="0.45">
      <c r="A4" s="25">
        <v>3</v>
      </c>
      <c r="B4" s="27">
        <v>4</v>
      </c>
      <c r="C4" s="28">
        <v>2</v>
      </c>
      <c r="D4" s="26">
        <v>2.4</v>
      </c>
      <c r="F4" s="25">
        <v>2.2999999999999998</v>
      </c>
      <c r="G4" s="31">
        <v>2.6</v>
      </c>
      <c r="H4" s="31">
        <v>3</v>
      </c>
      <c r="I4" s="31">
        <v>3.5</v>
      </c>
    </row>
    <row r="5" spans="1:9" ht="15" x14ac:dyDescent="0.45">
      <c r="A5" s="25">
        <v>4</v>
      </c>
      <c r="B5" s="27">
        <v>3.4</v>
      </c>
      <c r="C5" s="28">
        <v>3</v>
      </c>
      <c r="D5" s="26">
        <v>3.1</v>
      </c>
      <c r="F5" s="30" t="s">
        <v>85</v>
      </c>
      <c r="G5" s="20"/>
      <c r="H5" s="20"/>
      <c r="I5" s="20"/>
    </row>
    <row r="6" spans="1:9" ht="15" x14ac:dyDescent="0.45">
      <c r="A6" s="25">
        <v>5</v>
      </c>
      <c r="B6" s="27">
        <v>2.9</v>
      </c>
      <c r="C6" s="28">
        <v>4</v>
      </c>
      <c r="D6" s="26">
        <v>3.7</v>
      </c>
      <c r="F6" s="23" t="s">
        <v>63</v>
      </c>
      <c r="G6" s="23" t="s">
        <v>64</v>
      </c>
      <c r="H6" s="23" t="s">
        <v>65</v>
      </c>
      <c r="I6" s="23" t="s">
        <v>66</v>
      </c>
    </row>
    <row r="7" spans="1:9" ht="15" x14ac:dyDescent="0.45">
      <c r="A7" s="25">
        <v>6</v>
      </c>
      <c r="B7" s="27">
        <v>2</v>
      </c>
      <c r="C7" s="28">
        <v>6</v>
      </c>
      <c r="D7" s="26">
        <v>4.5</v>
      </c>
      <c r="F7" s="31">
        <v>5</v>
      </c>
      <c r="G7" s="31">
        <v>4.8</v>
      </c>
      <c r="H7" s="31">
        <v>4.2</v>
      </c>
      <c r="I7" s="31">
        <v>3.5</v>
      </c>
    </row>
    <row r="8" spans="1:9" ht="15" x14ac:dyDescent="0.45">
      <c r="A8" s="25">
        <v>7</v>
      </c>
      <c r="B8" s="27">
        <v>2.6</v>
      </c>
      <c r="C8" s="28">
        <v>5</v>
      </c>
      <c r="D8" s="26">
        <v>4</v>
      </c>
      <c r="F8" s="75"/>
      <c r="G8" s="75"/>
      <c r="H8" s="75"/>
      <c r="I8" s="75"/>
    </row>
    <row r="9" spans="1:9" ht="16.899999999999999" x14ac:dyDescent="0.45">
      <c r="A9" s="25">
        <v>8</v>
      </c>
      <c r="B9" s="27">
        <v>2.8</v>
      </c>
      <c r="C9" s="28">
        <v>4</v>
      </c>
      <c r="D9" s="26">
        <v>3.5</v>
      </c>
      <c r="F9" s="22"/>
    </row>
    <row r="10" spans="1:9" ht="28.5" customHeight="1" x14ac:dyDescent="0.45">
      <c r="A10" s="23" t="s">
        <v>86</v>
      </c>
      <c r="B10" s="23">
        <v>25.8</v>
      </c>
      <c r="C10" s="78">
        <v>28</v>
      </c>
      <c r="D10" s="24">
        <v>26.2</v>
      </c>
      <c r="F10" s="30" t="s">
        <v>2</v>
      </c>
    </row>
    <row r="11" spans="1:9" ht="15" x14ac:dyDescent="0.45">
      <c r="F11" s="23" t="s">
        <v>76</v>
      </c>
      <c r="G11" s="23" t="s">
        <v>87</v>
      </c>
    </row>
    <row r="12" spans="1:9" ht="15" x14ac:dyDescent="0.45">
      <c r="F12" s="25" t="s">
        <v>79</v>
      </c>
      <c r="G12" s="76">
        <f>$B$29+($B$30*F4)+($B$31*F7)</f>
        <v>4.0999999999999996</v>
      </c>
    </row>
    <row r="13" spans="1:9" ht="15" x14ac:dyDescent="0.45">
      <c r="F13" s="25" t="s">
        <v>64</v>
      </c>
      <c r="G13" s="76">
        <f>$B$29+($B$30*G4)+($B$31*G7)</f>
        <v>3.9311111111111119</v>
      </c>
    </row>
    <row r="14" spans="1:9" ht="15" x14ac:dyDescent="0.45">
      <c r="F14" s="25" t="s">
        <v>65</v>
      </c>
      <c r="G14" s="76">
        <f>$B$29+($B$30*H4)+($B$31*H7)</f>
        <v>3.5911111111111111</v>
      </c>
    </row>
    <row r="15" spans="1:9" ht="15" x14ac:dyDescent="0.45">
      <c r="F15" s="25" t="s">
        <v>66</v>
      </c>
      <c r="G15" s="76">
        <f>$B$29+($B$30*I4)+($B$31*I7)</f>
        <v>3.1833333333333336</v>
      </c>
    </row>
    <row r="28" spans="1:2" x14ac:dyDescent="0.45">
      <c r="A28" s="79"/>
      <c r="B28" s="79" t="s">
        <v>68</v>
      </c>
    </row>
    <row r="29" spans="1:2" x14ac:dyDescent="0.45">
      <c r="A29" s="80" t="s">
        <v>88</v>
      </c>
      <c r="B29" s="15">
        <v>3.1444444444444453</v>
      </c>
    </row>
    <row r="30" spans="1:2" x14ac:dyDescent="0.45">
      <c r="A30" s="80" t="s">
        <v>84</v>
      </c>
      <c r="B30" s="15">
        <v>-0.33333333333333343</v>
      </c>
    </row>
    <row r="31" spans="1:2" x14ac:dyDescent="0.45">
      <c r="A31" s="80" t="s">
        <v>85</v>
      </c>
      <c r="B31" s="15">
        <v>0.34444444444444439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6771D-FFCC-431B-8E39-936F7DC5ACF2}">
  <dimension ref="A1:H7"/>
  <sheetViews>
    <sheetView showGridLines="0" workbookViewId="0">
      <selection activeCell="F19" sqref="F19"/>
    </sheetView>
  </sheetViews>
  <sheetFormatPr baseColWidth="10" defaultColWidth="8.86328125" defaultRowHeight="14.25" x14ac:dyDescent="0.45"/>
  <cols>
    <col min="1" max="8" width="16" customWidth="1"/>
  </cols>
  <sheetData>
    <row r="1" spans="1:8" ht="33" x14ac:dyDescent="0.45">
      <c r="A1" s="58" t="s">
        <v>89</v>
      </c>
      <c r="B1" s="58" t="s">
        <v>2</v>
      </c>
      <c r="C1" s="58" t="s">
        <v>1</v>
      </c>
      <c r="D1" s="59" t="s">
        <v>90</v>
      </c>
      <c r="E1" s="59" t="s">
        <v>91</v>
      </c>
      <c r="F1" s="59" t="s">
        <v>92</v>
      </c>
      <c r="G1" s="59" t="s">
        <v>93</v>
      </c>
      <c r="H1" s="59" t="s">
        <v>94</v>
      </c>
    </row>
    <row r="2" spans="1:8" ht="15" x14ac:dyDescent="0.45">
      <c r="A2" s="25">
        <v>1</v>
      </c>
      <c r="B2" s="28">
        <v>300</v>
      </c>
      <c r="C2" s="25">
        <v>302</v>
      </c>
      <c r="D2" s="60"/>
      <c r="E2" s="60"/>
      <c r="F2" s="60"/>
      <c r="G2" s="28"/>
      <c r="H2" s="62"/>
    </row>
    <row r="3" spans="1:8" ht="15" x14ac:dyDescent="0.45">
      <c r="A3" s="25">
        <v>2</v>
      </c>
      <c r="B3" s="28">
        <v>300</v>
      </c>
      <c r="C3" s="25">
        <v>310</v>
      </c>
      <c r="D3" s="60"/>
      <c r="E3" s="60"/>
      <c r="F3" s="60"/>
      <c r="G3" s="28"/>
      <c r="H3" s="62"/>
    </row>
    <row r="4" spans="1:8" ht="15" x14ac:dyDescent="0.45">
      <c r="A4" s="25">
        <v>3</v>
      </c>
      <c r="B4" s="28">
        <v>300</v>
      </c>
      <c r="C4" s="61">
        <v>290</v>
      </c>
      <c r="D4" s="60"/>
      <c r="E4" s="60"/>
      <c r="F4" s="60"/>
      <c r="G4" s="28"/>
      <c r="H4" s="62"/>
    </row>
    <row r="5" spans="1:8" ht="15" x14ac:dyDescent="0.45">
      <c r="A5" s="25">
        <v>4</v>
      </c>
      <c r="B5" s="28">
        <v>300</v>
      </c>
      <c r="C5" s="61">
        <v>325</v>
      </c>
      <c r="D5" s="60"/>
      <c r="E5" s="60"/>
      <c r="F5" s="60"/>
      <c r="G5" s="28"/>
      <c r="H5" s="62"/>
    </row>
    <row r="6" spans="1:8" ht="15" x14ac:dyDescent="0.45">
      <c r="A6" s="25">
        <v>5</v>
      </c>
      <c r="B6" s="28">
        <v>300</v>
      </c>
      <c r="C6" s="28">
        <v>328</v>
      </c>
      <c r="D6" s="60"/>
      <c r="E6" s="60"/>
      <c r="F6" s="60"/>
      <c r="G6" s="28"/>
      <c r="H6" s="62"/>
    </row>
    <row r="7" spans="1:8" ht="15" x14ac:dyDescent="0.45">
      <c r="A7" s="25">
        <v>6</v>
      </c>
      <c r="B7" s="28">
        <v>300</v>
      </c>
      <c r="C7" s="28">
        <v>310</v>
      </c>
      <c r="D7" s="60"/>
      <c r="E7" s="60"/>
      <c r="F7" s="60"/>
      <c r="G7" s="28"/>
      <c r="H7" s="6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187D-E52F-4CB3-A6B3-5029E5A03CB9}">
  <dimension ref="A3:F17"/>
  <sheetViews>
    <sheetView showGridLines="0" workbookViewId="0">
      <selection activeCell="E9" sqref="E9"/>
    </sheetView>
  </sheetViews>
  <sheetFormatPr baseColWidth="10" defaultColWidth="8.86328125" defaultRowHeight="14.25" x14ac:dyDescent="0.45"/>
  <cols>
    <col min="1" max="6" width="16.86328125" customWidth="1"/>
  </cols>
  <sheetData>
    <row r="3" spans="1:6" ht="50.65" x14ac:dyDescent="0.5">
      <c r="A3" s="81" t="s">
        <v>89</v>
      </c>
      <c r="B3" s="81" t="s">
        <v>2</v>
      </c>
      <c r="C3" s="81" t="s">
        <v>1</v>
      </c>
      <c r="D3" s="82" t="s">
        <v>90</v>
      </c>
      <c r="E3" s="82" t="s">
        <v>92</v>
      </c>
      <c r="F3" s="83" t="s">
        <v>95</v>
      </c>
    </row>
    <row r="4" spans="1:6" ht="15.75" x14ac:dyDescent="0.5">
      <c r="A4" s="164">
        <v>1</v>
      </c>
      <c r="B4" s="165">
        <v>300</v>
      </c>
      <c r="C4" s="164">
        <v>299</v>
      </c>
      <c r="D4" s="166"/>
      <c r="E4" s="166"/>
      <c r="F4" s="167"/>
    </row>
    <row r="5" spans="1:6" ht="15.75" x14ac:dyDescent="0.5">
      <c r="A5" s="164">
        <v>2</v>
      </c>
      <c r="B5" s="165">
        <v>300</v>
      </c>
      <c r="C5" s="164">
        <v>305</v>
      </c>
      <c r="D5" s="166"/>
      <c r="E5" s="166"/>
      <c r="F5" s="167"/>
    </row>
    <row r="6" spans="1:6" ht="15.75" x14ac:dyDescent="0.5">
      <c r="A6" s="164">
        <v>3</v>
      </c>
      <c r="B6" s="165">
        <v>300</v>
      </c>
      <c r="C6" s="168">
        <v>312</v>
      </c>
      <c r="D6" s="166"/>
      <c r="E6" s="166"/>
      <c r="F6" s="167"/>
    </row>
    <row r="7" spans="1:6" ht="15.75" x14ac:dyDescent="0.5">
      <c r="A7" s="164">
        <v>4</v>
      </c>
      <c r="B7" s="165">
        <v>300</v>
      </c>
      <c r="C7" s="168">
        <v>310</v>
      </c>
      <c r="D7" s="166"/>
      <c r="E7" s="166"/>
      <c r="F7" s="167"/>
    </row>
    <row r="8" spans="1:6" ht="15.75" x14ac:dyDescent="0.5">
      <c r="A8" s="164">
        <v>5</v>
      </c>
      <c r="B8" s="165">
        <v>300</v>
      </c>
      <c r="C8" s="165">
        <v>294</v>
      </c>
      <c r="D8" s="166"/>
      <c r="E8" s="166"/>
      <c r="F8" s="167"/>
    </row>
    <row r="9" spans="1:6" ht="15.75" x14ac:dyDescent="0.5">
      <c r="A9" s="164">
        <v>6</v>
      </c>
      <c r="B9" s="165">
        <v>300</v>
      </c>
      <c r="C9" s="165">
        <v>315</v>
      </c>
      <c r="D9" s="166"/>
      <c r="E9" s="166"/>
      <c r="F9" s="167"/>
    </row>
    <row r="10" spans="1:6" ht="15.75" x14ac:dyDescent="0.5">
      <c r="A10" s="164">
        <v>7</v>
      </c>
      <c r="B10" s="165">
        <v>300</v>
      </c>
      <c r="C10" s="165">
        <v>306</v>
      </c>
      <c r="D10" s="166"/>
      <c r="E10" s="166"/>
      <c r="F10" s="167"/>
    </row>
    <row r="11" spans="1:6" ht="15.75" x14ac:dyDescent="0.5">
      <c r="A11" s="164">
        <v>8</v>
      </c>
      <c r="B11" s="165">
        <v>300</v>
      </c>
      <c r="C11" s="165">
        <v>286</v>
      </c>
      <c r="D11" s="166"/>
      <c r="E11" s="166"/>
      <c r="F11" s="167"/>
    </row>
    <row r="12" spans="1:6" ht="15.75" x14ac:dyDescent="0.5">
      <c r="A12" s="164">
        <v>9</v>
      </c>
      <c r="B12" s="165">
        <v>300</v>
      </c>
      <c r="C12" s="165">
        <v>292</v>
      </c>
      <c r="D12" s="166"/>
      <c r="E12" s="166"/>
      <c r="F12" s="167"/>
    </row>
    <row r="13" spans="1:6" ht="15.75" x14ac:dyDescent="0.5">
      <c r="A13" s="164">
        <v>10</v>
      </c>
      <c r="B13" s="165">
        <v>300</v>
      </c>
      <c r="C13" s="165">
        <v>285</v>
      </c>
      <c r="D13" s="166"/>
      <c r="E13" s="166"/>
      <c r="F13" s="167"/>
    </row>
    <row r="14" spans="1:6" ht="15.75" x14ac:dyDescent="0.5">
      <c r="A14" s="164">
        <v>11</v>
      </c>
      <c r="B14" s="165">
        <v>300</v>
      </c>
      <c r="C14" s="165">
        <v>311</v>
      </c>
      <c r="D14" s="166"/>
      <c r="E14" s="166"/>
      <c r="F14" s="167"/>
    </row>
    <row r="15" spans="1:6" ht="15.75" x14ac:dyDescent="0.5">
      <c r="A15" s="164">
        <v>12</v>
      </c>
      <c r="B15" s="165">
        <v>300</v>
      </c>
      <c r="C15" s="165">
        <v>285</v>
      </c>
      <c r="D15" s="166"/>
      <c r="E15" s="166"/>
      <c r="F15" s="167"/>
    </row>
    <row r="16" spans="1:6" ht="16.899999999999999" x14ac:dyDescent="0.5">
      <c r="A16" s="84" t="s">
        <v>86</v>
      </c>
      <c r="B16" s="169">
        <f>SUM(B4:B15)</f>
        <v>3600</v>
      </c>
      <c r="C16" s="169">
        <f>SUM(C4:C15)</f>
        <v>3600</v>
      </c>
      <c r="D16" s="85">
        <f>SUM(D4:D15)</f>
        <v>0</v>
      </c>
      <c r="E16" s="170">
        <f>SUM(E4:E15)</f>
        <v>0</v>
      </c>
      <c r="F16" s="171">
        <f>SUM(F4:F15)</f>
        <v>0</v>
      </c>
    </row>
    <row r="17" spans="1:6" ht="16.899999999999999" x14ac:dyDescent="0.5">
      <c r="A17" s="86"/>
      <c r="B17" s="87"/>
      <c r="C17" s="88"/>
      <c r="D17" s="89"/>
      <c r="E17" s="90" t="s">
        <v>96</v>
      </c>
      <c r="F17" s="91">
        <f>F16/A15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F3AA-F1A0-4831-9B70-6905CE41464F}">
  <dimension ref="A1:J13"/>
  <sheetViews>
    <sheetView showGridLines="0" workbookViewId="0">
      <selection activeCell="I7" sqref="I7"/>
    </sheetView>
  </sheetViews>
  <sheetFormatPr baseColWidth="10" defaultColWidth="8.86328125" defaultRowHeight="14.25" x14ac:dyDescent="0.45"/>
  <cols>
    <col min="1" max="10" width="15.1328125" customWidth="1"/>
  </cols>
  <sheetData>
    <row r="1" spans="1:10" ht="39" customHeight="1" x14ac:dyDescent="0.45">
      <c r="A1" s="18" t="s">
        <v>89</v>
      </c>
      <c r="B1" s="18" t="s">
        <v>1</v>
      </c>
      <c r="C1" s="18" t="s">
        <v>2</v>
      </c>
      <c r="D1" s="63" t="s">
        <v>97</v>
      </c>
      <c r="E1" s="63" t="s">
        <v>92</v>
      </c>
      <c r="F1" s="63" t="s">
        <v>98</v>
      </c>
      <c r="G1" s="63" t="s">
        <v>93</v>
      </c>
      <c r="H1" s="63" t="s">
        <v>99</v>
      </c>
      <c r="I1" s="63" t="s">
        <v>100</v>
      </c>
      <c r="J1" s="63" t="s">
        <v>101</v>
      </c>
    </row>
    <row r="2" spans="1:10" ht="26.25" customHeight="1" x14ac:dyDescent="0.45">
      <c r="A2" s="64">
        <v>1</v>
      </c>
      <c r="B2" s="65">
        <v>1000</v>
      </c>
      <c r="C2" s="66"/>
      <c r="D2" s="64"/>
      <c r="E2" s="64"/>
      <c r="F2" s="64"/>
      <c r="G2" s="64"/>
      <c r="H2" s="64"/>
      <c r="I2" s="64"/>
      <c r="J2" s="64"/>
    </row>
    <row r="3" spans="1:10" ht="26.25" customHeight="1" x14ac:dyDescent="0.45">
      <c r="A3" s="64">
        <v>2</v>
      </c>
      <c r="B3" s="65">
        <v>1100</v>
      </c>
      <c r="C3" s="66"/>
      <c r="D3" s="64"/>
      <c r="E3" s="64"/>
      <c r="F3" s="64"/>
      <c r="G3" s="64"/>
      <c r="H3" s="64"/>
      <c r="I3" s="64"/>
      <c r="J3" s="64"/>
    </row>
    <row r="4" spans="1:10" ht="26.25" customHeight="1" x14ac:dyDescent="0.45">
      <c r="A4" s="64">
        <v>3</v>
      </c>
      <c r="B4" s="65">
        <v>1200</v>
      </c>
      <c r="C4" s="66"/>
      <c r="D4" s="64"/>
      <c r="E4" s="64"/>
      <c r="F4" s="64"/>
      <c r="G4" s="64"/>
      <c r="H4" s="64"/>
      <c r="I4" s="64"/>
      <c r="J4" s="64"/>
    </row>
    <row r="5" spans="1:10" ht="26.25" customHeight="1" x14ac:dyDescent="0.45">
      <c r="A5" s="64">
        <v>4</v>
      </c>
      <c r="B5" s="65">
        <v>1050</v>
      </c>
      <c r="C5" s="65">
        <v>1100</v>
      </c>
      <c r="D5" s="66"/>
      <c r="E5" s="66"/>
      <c r="F5" s="66"/>
      <c r="G5" s="66"/>
      <c r="H5" s="67"/>
      <c r="I5" s="67"/>
      <c r="J5" s="66"/>
    </row>
    <row r="6" spans="1:10" ht="26.25" customHeight="1" x14ac:dyDescent="0.45">
      <c r="A6" s="64">
        <v>5</v>
      </c>
      <c r="B6" s="65">
        <v>900</v>
      </c>
      <c r="C6" s="65">
        <v>1116.6666666666667</v>
      </c>
      <c r="D6" s="66"/>
      <c r="E6" s="66"/>
      <c r="F6" s="66"/>
      <c r="G6" s="66"/>
      <c r="H6" s="67"/>
      <c r="I6" s="67"/>
      <c r="J6" s="66"/>
    </row>
    <row r="7" spans="1:10" ht="26.25" customHeight="1" x14ac:dyDescent="0.45">
      <c r="A7" s="64">
        <v>6</v>
      </c>
      <c r="B7" s="65">
        <v>1200</v>
      </c>
      <c r="C7" s="65">
        <v>1050</v>
      </c>
      <c r="D7" s="66"/>
      <c r="E7" s="66"/>
      <c r="F7" s="66"/>
      <c r="G7" s="66"/>
      <c r="H7" s="67"/>
      <c r="I7" s="67"/>
      <c r="J7" s="66"/>
    </row>
    <row r="8" spans="1:10" ht="26.25" customHeight="1" x14ac:dyDescent="0.45">
      <c r="A8" s="64">
        <v>7</v>
      </c>
      <c r="B8" s="65">
        <v>900</v>
      </c>
      <c r="C8" s="65">
        <v>1050</v>
      </c>
      <c r="D8" s="66"/>
      <c r="E8" s="66"/>
      <c r="F8" s="66"/>
      <c r="G8" s="66"/>
      <c r="H8" s="67"/>
      <c r="I8" s="67"/>
      <c r="J8" s="66"/>
    </row>
    <row r="9" spans="1:10" ht="26.25" customHeight="1" x14ac:dyDescent="0.45">
      <c r="A9" s="64">
        <v>8</v>
      </c>
      <c r="B9" s="65">
        <v>800</v>
      </c>
      <c r="C9" s="65">
        <v>1000</v>
      </c>
      <c r="D9" s="66"/>
      <c r="E9" s="66"/>
      <c r="F9" s="66"/>
      <c r="G9" s="66"/>
      <c r="H9" s="67"/>
      <c r="I9" s="67"/>
      <c r="J9" s="66"/>
    </row>
    <row r="10" spans="1:10" ht="26.25" customHeight="1" x14ac:dyDescent="0.45">
      <c r="A10" s="64">
        <v>9</v>
      </c>
      <c r="B10" s="65">
        <v>1250</v>
      </c>
      <c r="C10" s="65">
        <v>966.66666666666663</v>
      </c>
      <c r="D10" s="66"/>
      <c r="E10" s="66"/>
      <c r="F10" s="66"/>
      <c r="G10" s="66"/>
      <c r="H10" s="67"/>
      <c r="I10" s="67"/>
      <c r="J10" s="66"/>
    </row>
    <row r="11" spans="1:10" ht="26.25" customHeight="1" x14ac:dyDescent="0.45">
      <c r="A11" s="64">
        <v>10</v>
      </c>
      <c r="B11" s="65">
        <v>1100</v>
      </c>
      <c r="C11" s="65">
        <v>983.33333333333337</v>
      </c>
      <c r="D11" s="66"/>
      <c r="E11" s="66"/>
      <c r="F11" s="66"/>
      <c r="G11" s="66"/>
      <c r="H11" s="67"/>
      <c r="I11" s="67"/>
      <c r="J11" s="66"/>
    </row>
    <row r="12" spans="1:10" ht="26.25" customHeight="1" x14ac:dyDescent="0.45">
      <c r="A12" s="17" t="s">
        <v>102</v>
      </c>
      <c r="B12" s="68">
        <f>AVERAGE(B5:B11)</f>
        <v>1028.5714285714287</v>
      </c>
      <c r="C12" s="69">
        <f>AVERAGE(C5:C11)</f>
        <v>1038.0952380952381</v>
      </c>
      <c r="E12" s="16" t="s">
        <v>103</v>
      </c>
      <c r="F12" s="69" t="e">
        <f>AVERAGE(F5:F11)</f>
        <v>#DIV/0!</v>
      </c>
      <c r="H12" s="16" t="s">
        <v>104</v>
      </c>
      <c r="I12" s="70" t="e">
        <f>AVERAGE(I5:I11)</f>
        <v>#DIV/0!</v>
      </c>
    </row>
    <row r="13" spans="1:10" ht="26.25" customHeight="1" x14ac:dyDescent="0.45">
      <c r="E13" s="16" t="s">
        <v>105</v>
      </c>
      <c r="F13" s="69">
        <f>+SUM(F5:F11)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9A1A9-E779-2345-9BC3-1D90C45B4501}">
  <dimension ref="A1:L13"/>
  <sheetViews>
    <sheetView showGridLines="0" zoomScaleNormal="100" workbookViewId="0">
      <selection activeCell="I2" sqref="I2"/>
    </sheetView>
  </sheetViews>
  <sheetFormatPr baseColWidth="10" defaultColWidth="10.86328125" defaultRowHeight="15.75" x14ac:dyDescent="0.5"/>
  <cols>
    <col min="1" max="1" width="11.73046875" style="93" customWidth="1"/>
    <col min="2" max="4" width="11.1328125" style="93" customWidth="1"/>
    <col min="5" max="5" width="14.3984375" style="93" customWidth="1"/>
    <col min="6" max="11" width="11.1328125" style="93" customWidth="1"/>
    <col min="12" max="12" width="11.1328125" style="92" hidden="1" customWidth="1"/>
    <col min="13" max="16384" width="10.86328125" style="92"/>
  </cols>
  <sheetData>
    <row r="1" spans="1:12" ht="27" customHeight="1" x14ac:dyDescent="0.5">
      <c r="A1" s="99" t="s">
        <v>89</v>
      </c>
      <c r="B1" s="99" t="s">
        <v>1</v>
      </c>
      <c r="C1" s="99" t="s">
        <v>2</v>
      </c>
      <c r="D1" s="99" t="s">
        <v>106</v>
      </c>
      <c r="E1" s="99" t="s">
        <v>107</v>
      </c>
      <c r="F1" s="99" t="s">
        <v>108</v>
      </c>
      <c r="G1" s="99" t="s">
        <v>99</v>
      </c>
      <c r="H1" s="99" t="s">
        <v>96</v>
      </c>
      <c r="I1" s="99" t="s">
        <v>109</v>
      </c>
      <c r="J1" s="99" t="s">
        <v>110</v>
      </c>
      <c r="K1" s="99" t="s">
        <v>111</v>
      </c>
      <c r="L1" s="98" t="s">
        <v>101</v>
      </c>
    </row>
    <row r="2" spans="1:12" ht="27" customHeight="1" x14ac:dyDescent="0.5">
      <c r="A2" s="97">
        <v>1</v>
      </c>
      <c r="B2" s="96">
        <v>299</v>
      </c>
      <c r="C2" s="96">
        <v>300</v>
      </c>
      <c r="D2" s="95">
        <f>C2-B2</f>
        <v>1</v>
      </c>
      <c r="E2" s="95">
        <f>ABS(C2-B2)</f>
        <v>1</v>
      </c>
      <c r="F2" s="95">
        <f>D2^2</f>
        <v>1</v>
      </c>
      <c r="G2" s="150">
        <f>E2/B2</f>
        <v>3.3444816053511705E-3</v>
      </c>
      <c r="H2" s="94">
        <f>G2/A2</f>
        <v>3.3444816053511705E-3</v>
      </c>
      <c r="I2" s="94">
        <f>AVERAGE(E$2:E2)</f>
        <v>1</v>
      </c>
      <c r="J2" s="94">
        <f>AVERAGE(D$2:D2)</f>
        <v>1</v>
      </c>
      <c r="K2" s="94">
        <f>SQRT(AVERAGE(F$2:F2))</f>
        <v>1</v>
      </c>
      <c r="L2" s="94">
        <f>D2/I2</f>
        <v>1</v>
      </c>
    </row>
    <row r="3" spans="1:12" ht="27" customHeight="1" x14ac:dyDescent="0.5">
      <c r="A3" s="97">
        <v>2</v>
      </c>
      <c r="B3" s="96">
        <v>305</v>
      </c>
      <c r="C3" s="96">
        <v>300</v>
      </c>
      <c r="D3" s="95">
        <f t="shared" ref="D3:D13" si="0">C3-B3</f>
        <v>-5</v>
      </c>
      <c r="E3" s="95">
        <f t="shared" ref="E3:E12" si="1">ABS(D3)</f>
        <v>5</v>
      </c>
      <c r="F3" s="95">
        <f t="shared" ref="F3:F13" si="2">D3^2</f>
        <v>25</v>
      </c>
      <c r="G3" s="150">
        <f t="shared" ref="G3:G13" si="3">E3/B3</f>
        <v>1.6393442622950821E-2</v>
      </c>
      <c r="H3" s="94">
        <f>SUM(G2:G3)/A3</f>
        <v>9.8689621141509962E-3</v>
      </c>
      <c r="I3" s="94">
        <f>AVERAGE(E$2:E3)</f>
        <v>3</v>
      </c>
      <c r="J3" s="94">
        <f>AVERAGE(D$2:D3)</f>
        <v>-2</v>
      </c>
      <c r="K3" s="94">
        <f>SQRT(AVERAGE(F$2:F3))</f>
        <v>3.6055512754639891</v>
      </c>
      <c r="L3" s="94" cm="1">
        <f t="array" ref="L3">SUM(D2:D3/I3)</f>
        <v>-1.3333333333333335</v>
      </c>
    </row>
    <row r="4" spans="1:12" ht="27" customHeight="1" x14ac:dyDescent="0.5">
      <c r="A4" s="97">
        <v>3</v>
      </c>
      <c r="B4" s="96">
        <v>312</v>
      </c>
      <c r="C4" s="96">
        <v>300</v>
      </c>
      <c r="D4" s="95">
        <f t="shared" si="0"/>
        <v>-12</v>
      </c>
      <c r="E4" s="95">
        <f t="shared" si="1"/>
        <v>12</v>
      </c>
      <c r="F4" s="95">
        <f t="shared" si="2"/>
        <v>144</v>
      </c>
      <c r="G4" s="150">
        <f t="shared" si="3"/>
        <v>3.8461538461538464E-2</v>
      </c>
      <c r="H4" s="94">
        <f>SUM(G2:G4)/A4</f>
        <v>1.9399820896613486E-2</v>
      </c>
      <c r="I4" s="94">
        <f>AVERAGE(E$2:E4)</f>
        <v>6</v>
      </c>
      <c r="J4" s="94">
        <f>AVERAGE(D$2:D4)</f>
        <v>-5.333333333333333</v>
      </c>
      <c r="K4" s="94">
        <f>SQRT(AVERAGE(F$2:F4))</f>
        <v>7.5277265270908096</v>
      </c>
      <c r="L4" s="94" cm="1">
        <f t="array" ref="L4">SUM(D2:D4/I4)</f>
        <v>-2.666666666666667</v>
      </c>
    </row>
    <row r="5" spans="1:12" ht="27" customHeight="1" x14ac:dyDescent="0.5">
      <c r="A5" s="97">
        <v>4</v>
      </c>
      <c r="B5" s="96">
        <v>310</v>
      </c>
      <c r="C5" s="96">
        <v>300</v>
      </c>
      <c r="D5" s="95">
        <f t="shared" si="0"/>
        <v>-10</v>
      </c>
      <c r="E5" s="95">
        <f t="shared" si="1"/>
        <v>10</v>
      </c>
      <c r="F5" s="95">
        <f t="shared" si="2"/>
        <v>100</v>
      </c>
      <c r="G5" s="150">
        <f t="shared" si="3"/>
        <v>3.2258064516129031E-2</v>
      </c>
      <c r="H5" s="94">
        <f>SUM(G2:G5)/A5</f>
        <v>2.2614381801492372E-2</v>
      </c>
      <c r="I5" s="94">
        <f>AVERAGE(E$2:E5)</f>
        <v>7</v>
      </c>
      <c r="J5" s="94">
        <f>AVERAGE(D$2:D5)</f>
        <v>-6.5</v>
      </c>
      <c r="K5" s="94">
        <f>SQRT(AVERAGE(F$2:F5))</f>
        <v>8.2158383625774913</v>
      </c>
      <c r="L5" s="94" cm="1">
        <f t="array" ref="L5">SUM(D2:D5/I5)</f>
        <v>-3.7142857142857144</v>
      </c>
    </row>
    <row r="6" spans="1:12" ht="27" customHeight="1" x14ac:dyDescent="0.5">
      <c r="A6" s="97">
        <v>5</v>
      </c>
      <c r="B6" s="96">
        <v>294</v>
      </c>
      <c r="C6" s="96">
        <v>300</v>
      </c>
      <c r="D6" s="95">
        <f t="shared" si="0"/>
        <v>6</v>
      </c>
      <c r="E6" s="95">
        <f t="shared" si="1"/>
        <v>6</v>
      </c>
      <c r="F6" s="95">
        <f t="shared" si="2"/>
        <v>36</v>
      </c>
      <c r="G6" s="150">
        <f t="shared" si="3"/>
        <v>2.0408163265306121E-2</v>
      </c>
      <c r="H6" s="94">
        <f>SUM(G2:G6)/A6</f>
        <v>2.217313809425512E-2</v>
      </c>
      <c r="I6" s="94">
        <f>AVERAGE(E$2:E6)</f>
        <v>6.8</v>
      </c>
      <c r="J6" s="94">
        <f>AVERAGE(D$2:D6)</f>
        <v>-4</v>
      </c>
      <c r="K6" s="94">
        <f>SQRT(AVERAGE(F$2:F6))</f>
        <v>7.8230428862431785</v>
      </c>
      <c r="L6" s="94" cm="1">
        <f t="array" ref="L6">SUM(D2:D6/I6)</f>
        <v>-2.9411764705882355</v>
      </c>
    </row>
    <row r="7" spans="1:12" ht="27" customHeight="1" x14ac:dyDescent="0.5">
      <c r="A7" s="97">
        <v>6</v>
      </c>
      <c r="B7" s="96">
        <v>315</v>
      </c>
      <c r="C7" s="96">
        <v>300</v>
      </c>
      <c r="D7" s="95">
        <f t="shared" si="0"/>
        <v>-15</v>
      </c>
      <c r="E7" s="95">
        <f t="shared" si="1"/>
        <v>15</v>
      </c>
      <c r="F7" s="95">
        <f t="shared" si="2"/>
        <v>225</v>
      </c>
      <c r="G7" s="150">
        <f t="shared" si="3"/>
        <v>4.7619047619047616E-2</v>
      </c>
      <c r="H7" s="94">
        <f>SUM(G2:G7)/A7</f>
        <v>2.6414123015053869E-2</v>
      </c>
      <c r="I7" s="94">
        <f>AVERAGE(E$2:E7)</f>
        <v>8.1666666666666661</v>
      </c>
      <c r="J7" s="94">
        <f>AVERAGE(D$2:D7)</f>
        <v>-5.833333333333333</v>
      </c>
      <c r="K7" s="94">
        <f>SQRT(AVERAGE(F$2:F7))</f>
        <v>9.4074438611133893</v>
      </c>
      <c r="L7" s="94" cm="1">
        <f t="array" ref="L7">SUM(D2:D7/I7)</f>
        <v>-4.2857142857142856</v>
      </c>
    </row>
    <row r="8" spans="1:12" ht="27" customHeight="1" x14ac:dyDescent="0.5">
      <c r="A8" s="97">
        <v>7</v>
      </c>
      <c r="B8" s="96">
        <v>306</v>
      </c>
      <c r="C8" s="96">
        <v>300</v>
      </c>
      <c r="D8" s="95">
        <f t="shared" si="0"/>
        <v>-6</v>
      </c>
      <c r="E8" s="95">
        <f t="shared" si="1"/>
        <v>6</v>
      </c>
      <c r="F8" s="95">
        <f t="shared" si="2"/>
        <v>36</v>
      </c>
      <c r="G8" s="150">
        <f t="shared" si="3"/>
        <v>1.9607843137254902E-2</v>
      </c>
      <c r="H8" s="94">
        <f>SUM(G2:G8)/A8</f>
        <v>2.5441797318225441E-2</v>
      </c>
      <c r="I8" s="94">
        <f>AVERAGE(E$2:E8)</f>
        <v>7.8571428571428568</v>
      </c>
      <c r="J8" s="94">
        <f>AVERAGE(D$2:D8)</f>
        <v>-5.8571428571428568</v>
      </c>
      <c r="K8" s="94">
        <f>SQRT(AVERAGE(F$2:F8))</f>
        <v>9</v>
      </c>
      <c r="L8" s="94" cm="1">
        <f t="array" ref="L8">SUM(D2:D8/I8)</f>
        <v>-5.2181818181818178</v>
      </c>
    </row>
    <row r="9" spans="1:12" ht="27" customHeight="1" x14ac:dyDescent="0.5">
      <c r="A9" s="97">
        <v>8</v>
      </c>
      <c r="B9" s="96">
        <v>286</v>
      </c>
      <c r="C9" s="96">
        <v>300</v>
      </c>
      <c r="D9" s="95">
        <f t="shared" si="0"/>
        <v>14</v>
      </c>
      <c r="E9" s="95">
        <f t="shared" si="1"/>
        <v>14</v>
      </c>
      <c r="F9" s="95">
        <f t="shared" si="2"/>
        <v>196</v>
      </c>
      <c r="G9" s="150">
        <f t="shared" si="3"/>
        <v>4.8951048951048952E-2</v>
      </c>
      <c r="H9" s="94">
        <f>SUM(G2:G9)/A9</f>
        <v>2.8380453772328382E-2</v>
      </c>
      <c r="I9" s="94">
        <f>AVERAGE(E$2:E9)</f>
        <v>8.625</v>
      </c>
      <c r="J9" s="94">
        <f>AVERAGE(D$2:D9)</f>
        <v>-3.375</v>
      </c>
      <c r="K9" s="94">
        <f>SQRT(AVERAGE(F$2:F9))</f>
        <v>9.7660124923123046</v>
      </c>
      <c r="L9" s="94" cm="1">
        <f t="array" ref="L9">SUM(D2:D9/I9)</f>
        <v>-3.1304347826086953</v>
      </c>
    </row>
    <row r="10" spans="1:12" ht="27" customHeight="1" x14ac:dyDescent="0.5">
      <c r="A10" s="97">
        <v>9</v>
      </c>
      <c r="B10" s="96">
        <v>292</v>
      </c>
      <c r="C10" s="96">
        <v>300</v>
      </c>
      <c r="D10" s="95">
        <f t="shared" si="0"/>
        <v>8</v>
      </c>
      <c r="E10" s="95">
        <f t="shared" si="1"/>
        <v>8</v>
      </c>
      <c r="F10" s="95">
        <f t="shared" si="2"/>
        <v>64</v>
      </c>
      <c r="G10" s="150">
        <f t="shared" si="3"/>
        <v>2.7397260273972601E-2</v>
      </c>
      <c r="H10" s="94">
        <f>SUM(G2:G10)/A10</f>
        <v>2.8271210050288851E-2</v>
      </c>
      <c r="I10" s="94">
        <f>AVERAGE(E$2:E10)</f>
        <v>8.5555555555555554</v>
      </c>
      <c r="J10" s="94">
        <f>AVERAGE(D$2:D10)</f>
        <v>-2.1111111111111112</v>
      </c>
      <c r="K10" s="94">
        <f>SQRT(AVERAGE(F$2:F10))</f>
        <v>9.5858692296989361</v>
      </c>
      <c r="L10" s="94" cm="1">
        <f t="array" ref="L10">SUM(D2:D10/I10)</f>
        <v>-2.2207792207792205</v>
      </c>
    </row>
    <row r="11" spans="1:12" ht="27" customHeight="1" x14ac:dyDescent="0.5">
      <c r="A11" s="97">
        <v>10</v>
      </c>
      <c r="B11" s="96">
        <v>285</v>
      </c>
      <c r="C11" s="96">
        <v>300</v>
      </c>
      <c r="D11" s="95">
        <f t="shared" si="0"/>
        <v>15</v>
      </c>
      <c r="E11" s="95">
        <f t="shared" si="1"/>
        <v>15</v>
      </c>
      <c r="F11" s="95">
        <f t="shared" si="2"/>
        <v>225</v>
      </c>
      <c r="G11" s="150">
        <f t="shared" si="3"/>
        <v>5.2631578947368418E-2</v>
      </c>
      <c r="H11" s="94">
        <f>SUM(G2:G11)/A11</f>
        <v>3.0707246939996807E-2</v>
      </c>
      <c r="I11" s="94">
        <f>AVERAGE(E$2:E11)</f>
        <v>9.1999999999999993</v>
      </c>
      <c r="J11" s="94">
        <f>AVERAGE(D$2:D11)</f>
        <v>-0.4</v>
      </c>
      <c r="K11" s="94">
        <f>SQRT(AVERAGE(F$2:F11))</f>
        <v>10.256705123966467</v>
      </c>
      <c r="L11" s="94" cm="1">
        <f t="array" ref="L11">SUM(D2:D11/I11)</f>
        <v>-0.43478260869565188</v>
      </c>
    </row>
    <row r="12" spans="1:12" ht="27" customHeight="1" x14ac:dyDescent="0.5">
      <c r="A12" s="97">
        <v>11</v>
      </c>
      <c r="B12" s="96">
        <v>311</v>
      </c>
      <c r="C12" s="96">
        <v>300</v>
      </c>
      <c r="D12" s="95">
        <f t="shared" si="0"/>
        <v>-11</v>
      </c>
      <c r="E12" s="95">
        <f t="shared" si="1"/>
        <v>11</v>
      </c>
      <c r="F12" s="95">
        <f t="shared" si="2"/>
        <v>121</v>
      </c>
      <c r="G12" s="150">
        <f t="shared" si="3"/>
        <v>3.5369774919614148E-2</v>
      </c>
      <c r="H12" s="94">
        <f>SUM(G2:G12)/A12</f>
        <v>3.1131113119962018E-2</v>
      </c>
      <c r="I12" s="94">
        <f>AVERAGE(E$2:E12)</f>
        <v>9.3636363636363633</v>
      </c>
      <c r="J12" s="94">
        <f>AVERAGE(D$2:D12)</f>
        <v>-1.3636363636363635</v>
      </c>
      <c r="K12" s="94">
        <f>SQRT(AVERAGE(F$2:F12))</f>
        <v>10.326488446532231</v>
      </c>
      <c r="L12" s="94" cm="1">
        <f t="array" ref="L12">SUM(D2:D12/I12)</f>
        <v>-1.6019417475728148</v>
      </c>
    </row>
    <row r="13" spans="1:12" ht="27" customHeight="1" x14ac:dyDescent="0.5">
      <c r="A13" s="97">
        <v>12</v>
      </c>
      <c r="B13" s="96">
        <v>285</v>
      </c>
      <c r="C13" s="96">
        <v>300</v>
      </c>
      <c r="D13" s="95">
        <f t="shared" si="0"/>
        <v>15</v>
      </c>
      <c r="E13" s="95">
        <f>ABS(D13)</f>
        <v>15</v>
      </c>
      <c r="F13" s="95">
        <f t="shared" si="2"/>
        <v>225</v>
      </c>
      <c r="G13" s="150">
        <f t="shared" si="3"/>
        <v>5.2631578947368418E-2</v>
      </c>
      <c r="H13" s="94">
        <f>SUM(G2:G13)/A13</f>
        <v>3.2922818605579218E-2</v>
      </c>
      <c r="I13" s="94">
        <f>AVERAGE(E$2:E13)</f>
        <v>9.8333333333333339</v>
      </c>
      <c r="J13" s="94">
        <f>AVERAGE(D$2:D13)</f>
        <v>0</v>
      </c>
      <c r="K13" s="94">
        <f>SQRT(AVERAGE(F$2:F13))</f>
        <v>10.793516572461451</v>
      </c>
      <c r="L13" s="94" cm="1">
        <f t="array" ref="L13">SUM(D2:D13/I13)</f>
        <v>2.2204460492503131E-16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0E58-E4FC-F949-B5BB-1EF6C15622F5}">
  <dimension ref="A1:AA37"/>
  <sheetViews>
    <sheetView showGridLines="0" zoomScale="110" zoomScaleNormal="110" workbookViewId="0">
      <selection activeCell="L3" sqref="L3"/>
    </sheetView>
  </sheetViews>
  <sheetFormatPr baseColWidth="10" defaultColWidth="10.86328125" defaultRowHeight="15.75" x14ac:dyDescent="0.5"/>
  <cols>
    <col min="1" max="21" width="10.86328125" style="92"/>
    <col min="22" max="27" width="10.86328125" style="100"/>
    <col min="28" max="16384" width="10.86328125" style="92"/>
  </cols>
  <sheetData>
    <row r="1" spans="1:24" ht="35.1" customHeight="1" x14ac:dyDescent="0.5">
      <c r="A1" s="106" t="s">
        <v>112</v>
      </c>
      <c r="B1" s="106" t="s">
        <v>89</v>
      </c>
      <c r="C1" s="106" t="s">
        <v>113</v>
      </c>
      <c r="D1" s="106" t="s">
        <v>114</v>
      </c>
      <c r="E1" s="106" t="s">
        <v>115</v>
      </c>
      <c r="G1" s="106" t="s">
        <v>116</v>
      </c>
      <c r="H1" s="106" t="s">
        <v>117</v>
      </c>
      <c r="I1" s="106" t="s">
        <v>118</v>
      </c>
      <c r="K1" s="107" t="s">
        <v>119</v>
      </c>
      <c r="L1" s="107" t="s">
        <v>120</v>
      </c>
      <c r="V1" s="100" t="s">
        <v>121</v>
      </c>
      <c r="W1" s="100" t="s">
        <v>122</v>
      </c>
      <c r="X1" s="100" t="s">
        <v>122</v>
      </c>
    </row>
    <row r="2" spans="1:24" x14ac:dyDescent="0.5">
      <c r="A2" s="97" t="s">
        <v>123</v>
      </c>
      <c r="B2" s="97">
        <v>1</v>
      </c>
      <c r="C2" s="104">
        <v>17</v>
      </c>
      <c r="D2" s="104">
        <v>6</v>
      </c>
      <c r="E2" s="104">
        <v>9</v>
      </c>
      <c r="F2" s="93"/>
      <c r="G2" s="104">
        <v>17</v>
      </c>
      <c r="H2" s="104">
        <v>6</v>
      </c>
      <c r="I2" s="104">
        <v>9</v>
      </c>
      <c r="K2" s="103">
        <v>0.01</v>
      </c>
      <c r="L2" s="103">
        <v>0.99</v>
      </c>
      <c r="V2" s="100">
        <v>4.3499999999999996</v>
      </c>
      <c r="W2" s="100">
        <v>16.649999999999999</v>
      </c>
      <c r="X2" s="100">
        <v>70.949999999999875</v>
      </c>
    </row>
    <row r="3" spans="1:24" x14ac:dyDescent="0.5">
      <c r="A3" s="97" t="s">
        <v>123</v>
      </c>
      <c r="B3" s="97">
        <v>2</v>
      </c>
      <c r="C3" s="104">
        <v>12</v>
      </c>
      <c r="D3" s="104">
        <v>11</v>
      </c>
      <c r="E3" s="104">
        <v>8</v>
      </c>
      <c r="F3" s="93"/>
      <c r="G3" s="104">
        <v>12</v>
      </c>
      <c r="H3" s="104">
        <v>11</v>
      </c>
      <c r="I3" s="104">
        <v>8</v>
      </c>
      <c r="K3" s="102">
        <f>PERCENTILE(C2:C37,K2)</f>
        <v>4.1100000000000003</v>
      </c>
      <c r="L3" s="102">
        <f>PERCENTILE(G2:G37,K2)</f>
        <v>4.1100000000000003</v>
      </c>
      <c r="V3" s="100">
        <v>4.3499999999999996</v>
      </c>
      <c r="W3" s="100">
        <v>16.649999999999999</v>
      </c>
      <c r="X3" s="100">
        <v>70.949999999999875</v>
      </c>
    </row>
    <row r="4" spans="1:24" x14ac:dyDescent="0.5">
      <c r="A4" s="97" t="s">
        <v>123</v>
      </c>
      <c r="B4" s="97">
        <v>3</v>
      </c>
      <c r="C4" s="104">
        <v>7</v>
      </c>
      <c r="D4" s="104">
        <v>14</v>
      </c>
      <c r="E4" s="104">
        <v>5</v>
      </c>
      <c r="F4" s="93"/>
      <c r="G4" s="104">
        <v>7</v>
      </c>
      <c r="H4" s="104">
        <v>14</v>
      </c>
      <c r="I4" s="104">
        <v>5</v>
      </c>
      <c r="K4" s="102">
        <f>PERCENTILE(C2:E13,L2)</f>
        <v>16.649999999999999</v>
      </c>
      <c r="L4" s="102">
        <f>PERCENTILE(G2:I13,L2)</f>
        <v>70.949999999999875</v>
      </c>
      <c r="V4" s="100">
        <v>4.3499999999999996</v>
      </c>
      <c r="W4" s="100">
        <v>16.649999999999999</v>
      </c>
      <c r="X4" s="100">
        <v>70.949999999999875</v>
      </c>
    </row>
    <row r="5" spans="1:24" x14ac:dyDescent="0.5">
      <c r="A5" s="97" t="s">
        <v>123</v>
      </c>
      <c r="B5" s="97">
        <v>4</v>
      </c>
      <c r="C5" s="104">
        <v>5</v>
      </c>
      <c r="D5" s="104">
        <v>15</v>
      </c>
      <c r="E5" s="104">
        <v>12</v>
      </c>
      <c r="F5" s="93"/>
      <c r="G5" s="104">
        <v>5</v>
      </c>
      <c r="H5" s="104">
        <v>15</v>
      </c>
      <c r="I5" s="104">
        <v>12</v>
      </c>
      <c r="V5" s="100">
        <v>4.3499999999999996</v>
      </c>
      <c r="W5" s="100">
        <v>16.649999999999999</v>
      </c>
      <c r="X5" s="100">
        <v>70.949999999999875</v>
      </c>
    </row>
    <row r="6" spans="1:24" x14ac:dyDescent="0.5">
      <c r="A6" s="97" t="s">
        <v>123</v>
      </c>
      <c r="B6" s="97">
        <v>5</v>
      </c>
      <c r="C6" s="104">
        <v>4</v>
      </c>
      <c r="D6" s="104">
        <v>8</v>
      </c>
      <c r="E6" s="104">
        <v>10</v>
      </c>
      <c r="F6" s="93"/>
      <c r="G6" s="104">
        <v>4</v>
      </c>
      <c r="H6" s="104">
        <v>8</v>
      </c>
      <c r="I6" s="104">
        <v>10</v>
      </c>
      <c r="V6" s="100">
        <v>4.3499999999999996</v>
      </c>
      <c r="W6" s="100">
        <v>16.649999999999999</v>
      </c>
      <c r="X6" s="100">
        <v>70.949999999999875</v>
      </c>
    </row>
    <row r="7" spans="1:24" x14ac:dyDescent="0.5">
      <c r="A7" s="97" t="s">
        <v>123</v>
      </c>
      <c r="B7" s="97">
        <v>6</v>
      </c>
      <c r="C7" s="104">
        <v>9</v>
      </c>
      <c r="D7" s="104">
        <v>12</v>
      </c>
      <c r="E7" s="104">
        <v>8</v>
      </c>
      <c r="F7" s="93"/>
      <c r="G7" s="104">
        <v>9</v>
      </c>
      <c r="H7" s="104">
        <v>12</v>
      </c>
      <c r="I7" s="104">
        <v>8</v>
      </c>
      <c r="V7" s="100">
        <v>4.3499999999999996</v>
      </c>
      <c r="W7" s="100">
        <v>16.649999999999999</v>
      </c>
      <c r="X7" s="100">
        <v>70.949999999999875</v>
      </c>
    </row>
    <row r="8" spans="1:24" x14ac:dyDescent="0.5">
      <c r="A8" s="97" t="s">
        <v>123</v>
      </c>
      <c r="B8" s="97">
        <v>7</v>
      </c>
      <c r="C8" s="104">
        <v>13</v>
      </c>
      <c r="D8" s="104">
        <v>14</v>
      </c>
      <c r="E8" s="104">
        <v>9</v>
      </c>
      <c r="F8" s="93"/>
      <c r="G8" s="104">
        <v>13</v>
      </c>
      <c r="H8" s="105">
        <v>100</v>
      </c>
      <c r="I8" s="104">
        <v>9</v>
      </c>
      <c r="V8" s="100">
        <v>4.3499999999999996</v>
      </c>
      <c r="W8" s="100">
        <v>16.649999999999999</v>
      </c>
      <c r="X8" s="100">
        <v>70.949999999999875</v>
      </c>
    </row>
    <row r="9" spans="1:24" x14ac:dyDescent="0.5">
      <c r="A9" s="97" t="s">
        <v>123</v>
      </c>
      <c r="B9" s="97">
        <v>8</v>
      </c>
      <c r="C9" s="104">
        <v>14</v>
      </c>
      <c r="D9" s="104">
        <v>14</v>
      </c>
      <c r="E9" s="104">
        <v>10</v>
      </c>
      <c r="F9" s="93"/>
      <c r="G9" s="104">
        <v>14</v>
      </c>
      <c r="H9" s="104">
        <v>14</v>
      </c>
      <c r="I9" s="104">
        <v>10</v>
      </c>
      <c r="V9" s="100">
        <v>4.3499999999999996</v>
      </c>
      <c r="W9" s="100">
        <v>16.649999999999999</v>
      </c>
      <c r="X9" s="100">
        <v>70.949999999999875</v>
      </c>
    </row>
    <row r="10" spans="1:24" x14ac:dyDescent="0.5">
      <c r="A10" s="97" t="s">
        <v>123</v>
      </c>
      <c r="B10" s="97">
        <v>9</v>
      </c>
      <c r="C10" s="104">
        <v>11</v>
      </c>
      <c r="D10" s="104">
        <v>11</v>
      </c>
      <c r="E10" s="104">
        <v>8</v>
      </c>
      <c r="F10" s="93"/>
      <c r="G10" s="104">
        <v>11</v>
      </c>
      <c r="H10" s="104">
        <v>11</v>
      </c>
      <c r="I10" s="104">
        <v>8</v>
      </c>
      <c r="V10" s="100">
        <v>4.3499999999999996</v>
      </c>
      <c r="W10" s="100">
        <v>16.649999999999999</v>
      </c>
      <c r="X10" s="100">
        <v>70.949999999999875</v>
      </c>
    </row>
    <row r="11" spans="1:24" x14ac:dyDescent="0.5">
      <c r="A11" s="97" t="s">
        <v>123</v>
      </c>
      <c r="B11" s="97">
        <v>10</v>
      </c>
      <c r="C11" s="104">
        <v>11</v>
      </c>
      <c r="D11" s="104">
        <v>10</v>
      </c>
      <c r="E11" s="104">
        <v>16</v>
      </c>
      <c r="F11" s="93"/>
      <c r="G11" s="104">
        <v>11</v>
      </c>
      <c r="H11" s="104">
        <v>10</v>
      </c>
      <c r="I11" s="104">
        <v>16</v>
      </c>
      <c r="V11" s="100">
        <v>4.3499999999999996</v>
      </c>
      <c r="W11" s="100">
        <v>16.649999999999999</v>
      </c>
      <c r="X11" s="100">
        <v>70.949999999999875</v>
      </c>
    </row>
    <row r="12" spans="1:24" x14ac:dyDescent="0.5">
      <c r="A12" s="97" t="s">
        <v>123</v>
      </c>
      <c r="B12" s="97">
        <v>11</v>
      </c>
      <c r="C12" s="104">
        <v>10</v>
      </c>
      <c r="D12" s="104">
        <v>7</v>
      </c>
      <c r="E12" s="104">
        <v>8</v>
      </c>
      <c r="F12" s="93"/>
      <c r="G12" s="104">
        <v>10</v>
      </c>
      <c r="H12" s="104">
        <v>7</v>
      </c>
      <c r="I12" s="104">
        <v>8</v>
      </c>
      <c r="V12" s="100">
        <v>4.3499999999999996</v>
      </c>
      <c r="W12" s="100">
        <v>16.649999999999999</v>
      </c>
      <c r="X12" s="100">
        <v>70.949999999999875</v>
      </c>
    </row>
    <row r="13" spans="1:24" x14ac:dyDescent="0.5">
      <c r="A13" s="97" t="s">
        <v>123</v>
      </c>
      <c r="B13" s="97">
        <v>12</v>
      </c>
      <c r="C13" s="104">
        <v>12</v>
      </c>
      <c r="D13" s="104">
        <v>15</v>
      </c>
      <c r="E13" s="104">
        <v>10</v>
      </c>
      <c r="F13" s="93"/>
      <c r="G13" s="104">
        <v>12</v>
      </c>
      <c r="H13" s="104">
        <v>15</v>
      </c>
      <c r="I13" s="104">
        <v>10</v>
      </c>
      <c r="V13" s="100">
        <v>4.3499999999999996</v>
      </c>
      <c r="W13" s="100">
        <v>16.649999999999999</v>
      </c>
      <c r="X13" s="100">
        <v>70.949999999999875</v>
      </c>
    </row>
    <row r="14" spans="1:24" x14ac:dyDescent="0.5">
      <c r="A14" s="93"/>
      <c r="B14" s="93"/>
      <c r="C14" s="93"/>
      <c r="D14" s="93"/>
      <c r="E14" s="93"/>
      <c r="F14" s="93"/>
      <c r="G14" s="93"/>
      <c r="H14" s="93"/>
      <c r="I14" s="93"/>
      <c r="V14" s="100">
        <v>4.3499999999999996</v>
      </c>
      <c r="W14" s="100">
        <v>16.649999999999999</v>
      </c>
      <c r="X14" s="100">
        <v>70.949999999999875</v>
      </c>
    </row>
    <row r="15" spans="1:24" x14ac:dyDescent="0.5">
      <c r="A15" s="93"/>
      <c r="B15" s="93"/>
      <c r="C15" s="93"/>
      <c r="D15" s="93"/>
      <c r="E15" s="93"/>
      <c r="F15" s="93"/>
      <c r="G15" s="93"/>
      <c r="H15" s="93"/>
      <c r="I15" s="93"/>
      <c r="V15" s="100">
        <v>4.3499999999999996</v>
      </c>
      <c r="W15" s="100">
        <v>16.649999999999999</v>
      </c>
      <c r="X15" s="100">
        <v>70.949999999999875</v>
      </c>
    </row>
    <row r="16" spans="1:24" x14ac:dyDescent="0.5">
      <c r="A16" s="93"/>
      <c r="B16" s="93"/>
      <c r="C16" s="93"/>
      <c r="D16" s="93"/>
      <c r="E16" s="93"/>
      <c r="F16" s="93"/>
      <c r="G16" s="93"/>
      <c r="H16" s="93"/>
      <c r="I16" s="93"/>
      <c r="V16" s="100">
        <v>4.3499999999999996</v>
      </c>
      <c r="W16" s="100">
        <v>16.649999999999999</v>
      </c>
      <c r="X16" s="100">
        <v>70.949999999999875</v>
      </c>
    </row>
    <row r="17" spans="1:24" x14ac:dyDescent="0.5">
      <c r="A17" s="93"/>
      <c r="B17" s="93"/>
      <c r="C17" s="93"/>
      <c r="D17" s="93"/>
      <c r="E17" s="93"/>
      <c r="F17" s="93"/>
      <c r="G17" s="93"/>
      <c r="H17" s="93"/>
      <c r="I17" s="93"/>
      <c r="V17" s="100">
        <v>4.3499999999999996</v>
      </c>
      <c r="W17" s="100">
        <v>16.649999999999999</v>
      </c>
      <c r="X17" s="100">
        <v>70.949999999999875</v>
      </c>
    </row>
    <row r="18" spans="1:24" x14ac:dyDescent="0.5">
      <c r="A18" s="93"/>
      <c r="B18" s="93"/>
      <c r="C18" s="93"/>
      <c r="D18" s="93"/>
      <c r="E18" s="93"/>
      <c r="F18" s="93"/>
      <c r="G18" s="93"/>
      <c r="H18" s="93"/>
      <c r="I18" s="93"/>
      <c r="V18" s="100">
        <v>4.3499999999999996</v>
      </c>
      <c r="W18" s="100">
        <v>16.649999999999999</v>
      </c>
      <c r="X18" s="100">
        <v>70.949999999999875</v>
      </c>
    </row>
    <row r="19" spans="1:24" x14ac:dyDescent="0.5">
      <c r="A19" s="93"/>
      <c r="B19" s="93"/>
      <c r="C19" s="93"/>
      <c r="D19" s="93"/>
      <c r="E19" s="93"/>
      <c r="F19" s="93"/>
      <c r="G19" s="93"/>
      <c r="H19" s="93"/>
      <c r="I19" s="93"/>
      <c r="V19" s="100">
        <v>4.3499999999999996</v>
      </c>
      <c r="W19" s="100">
        <v>16.649999999999999</v>
      </c>
      <c r="X19" s="100">
        <v>70.949999999999875</v>
      </c>
    </row>
    <row r="20" spans="1:24" x14ac:dyDescent="0.5">
      <c r="A20" s="93"/>
      <c r="B20" s="93"/>
      <c r="C20" s="93"/>
      <c r="D20" s="93"/>
      <c r="E20" s="93"/>
      <c r="F20" s="93"/>
      <c r="G20" s="101"/>
      <c r="H20" s="101"/>
      <c r="I20" s="101"/>
      <c r="V20" s="100">
        <v>4.3499999999999996</v>
      </c>
      <c r="W20" s="100">
        <v>16.649999999999999</v>
      </c>
      <c r="X20" s="100">
        <v>70.949999999999875</v>
      </c>
    </row>
    <row r="21" spans="1:24" x14ac:dyDescent="0.5">
      <c r="A21" s="93"/>
      <c r="B21" s="93"/>
      <c r="C21" s="93"/>
      <c r="D21" s="93"/>
      <c r="E21" s="93"/>
      <c r="F21" s="93"/>
      <c r="G21" s="93"/>
      <c r="H21" s="93"/>
      <c r="I21" s="93"/>
      <c r="V21" s="100">
        <v>4.3499999999999996</v>
      </c>
      <c r="W21" s="100">
        <v>16.649999999999999</v>
      </c>
      <c r="X21" s="100">
        <v>70.949999999999875</v>
      </c>
    </row>
    <row r="22" spans="1:24" x14ac:dyDescent="0.5">
      <c r="A22" s="93"/>
      <c r="B22" s="93"/>
      <c r="C22" s="93"/>
      <c r="D22" s="93"/>
      <c r="E22" s="93"/>
      <c r="F22" s="93"/>
      <c r="G22" s="93"/>
      <c r="H22" s="93"/>
      <c r="I22" s="93"/>
      <c r="V22" s="100">
        <v>4.3499999999999996</v>
      </c>
      <c r="W22" s="100">
        <v>16.649999999999999</v>
      </c>
      <c r="X22" s="100">
        <v>70.949999999999875</v>
      </c>
    </row>
    <row r="23" spans="1:24" x14ac:dyDescent="0.5">
      <c r="A23" s="93"/>
      <c r="B23" s="93"/>
      <c r="C23" s="93"/>
      <c r="D23" s="93"/>
      <c r="E23" s="93"/>
      <c r="F23" s="93"/>
      <c r="G23" s="93"/>
      <c r="H23" s="93"/>
      <c r="I23" s="93"/>
      <c r="V23" s="100">
        <v>4.3499999999999996</v>
      </c>
      <c r="W23" s="100">
        <v>16.649999999999999</v>
      </c>
      <c r="X23" s="100">
        <v>70.949999999999875</v>
      </c>
    </row>
    <row r="24" spans="1:24" x14ac:dyDescent="0.5">
      <c r="A24" s="93"/>
      <c r="B24" s="93"/>
      <c r="C24" s="93"/>
      <c r="D24" s="93"/>
      <c r="E24" s="93"/>
      <c r="F24" s="93"/>
      <c r="G24" s="93"/>
      <c r="H24" s="93"/>
      <c r="I24" s="93"/>
      <c r="V24" s="100">
        <v>4.3499999999999996</v>
      </c>
      <c r="W24" s="100">
        <v>16.649999999999999</v>
      </c>
      <c r="X24" s="100">
        <v>70.949999999999875</v>
      </c>
    </row>
    <row r="25" spans="1:24" x14ac:dyDescent="0.5">
      <c r="A25" s="93"/>
      <c r="B25" s="93"/>
      <c r="C25" s="93"/>
      <c r="D25" s="93"/>
      <c r="E25" s="93"/>
      <c r="F25" s="93"/>
      <c r="G25" s="93"/>
      <c r="H25" s="93"/>
      <c r="I25" s="93"/>
      <c r="V25" s="100">
        <v>4.3499999999999996</v>
      </c>
      <c r="W25" s="100">
        <v>16.649999999999999</v>
      </c>
      <c r="X25" s="100">
        <v>70.949999999999875</v>
      </c>
    </row>
    <row r="26" spans="1:24" x14ac:dyDescent="0.5">
      <c r="A26" s="93"/>
      <c r="B26" s="93"/>
      <c r="C26" s="93"/>
      <c r="D26" s="93"/>
      <c r="E26" s="93"/>
      <c r="F26" s="93"/>
      <c r="G26" s="93"/>
      <c r="H26" s="93"/>
      <c r="I26" s="93"/>
      <c r="V26" s="100">
        <v>4.3499999999999996</v>
      </c>
      <c r="W26" s="100">
        <v>16.649999999999999</v>
      </c>
      <c r="X26" s="100">
        <v>70.949999999999875</v>
      </c>
    </row>
    <row r="27" spans="1:24" x14ac:dyDescent="0.5">
      <c r="A27" s="93"/>
      <c r="B27" s="93"/>
      <c r="C27" s="93"/>
      <c r="D27" s="93"/>
      <c r="E27" s="93"/>
      <c r="F27" s="93"/>
      <c r="G27" s="93"/>
      <c r="H27" s="93"/>
      <c r="I27" s="93"/>
      <c r="V27" s="100">
        <v>4.3499999999999996</v>
      </c>
      <c r="W27" s="100">
        <v>16.649999999999999</v>
      </c>
      <c r="X27" s="100">
        <v>70.949999999999875</v>
      </c>
    </row>
    <row r="28" spans="1:24" x14ac:dyDescent="0.5">
      <c r="A28" s="93"/>
      <c r="B28" s="93"/>
      <c r="C28" s="93"/>
      <c r="D28" s="93"/>
      <c r="E28" s="93"/>
      <c r="F28" s="93"/>
      <c r="G28" s="93"/>
      <c r="H28" s="93"/>
      <c r="I28" s="93"/>
      <c r="V28" s="100">
        <v>4.3499999999999996</v>
      </c>
      <c r="W28" s="100">
        <v>16.649999999999999</v>
      </c>
      <c r="X28" s="100">
        <v>70.949999999999875</v>
      </c>
    </row>
    <row r="29" spans="1:24" x14ac:dyDescent="0.5">
      <c r="A29" s="93"/>
      <c r="B29" s="93"/>
      <c r="C29" s="93"/>
      <c r="D29" s="93"/>
      <c r="E29" s="93"/>
      <c r="F29" s="93"/>
      <c r="G29" s="93"/>
      <c r="H29" s="93"/>
      <c r="I29" s="93"/>
      <c r="V29" s="100">
        <v>4.3499999999999996</v>
      </c>
      <c r="W29" s="100">
        <v>16.649999999999999</v>
      </c>
      <c r="X29" s="100">
        <v>70.949999999999875</v>
      </c>
    </row>
    <row r="30" spans="1:24" x14ac:dyDescent="0.5">
      <c r="A30" s="93"/>
      <c r="B30" s="93"/>
      <c r="C30" s="93"/>
      <c r="D30" s="93"/>
      <c r="E30" s="93"/>
      <c r="F30" s="93"/>
      <c r="G30" s="93"/>
      <c r="H30" s="93"/>
      <c r="I30" s="93"/>
      <c r="V30" s="100">
        <v>4.3499999999999996</v>
      </c>
      <c r="W30" s="100">
        <v>16.649999999999999</v>
      </c>
      <c r="X30" s="100">
        <v>70.949999999999875</v>
      </c>
    </row>
    <row r="31" spans="1:24" x14ac:dyDescent="0.5">
      <c r="A31" s="93"/>
      <c r="B31" s="93"/>
      <c r="C31" s="93"/>
      <c r="D31" s="93"/>
      <c r="E31" s="93"/>
      <c r="F31" s="93"/>
      <c r="G31" s="93"/>
      <c r="H31" s="93"/>
      <c r="I31" s="93"/>
      <c r="V31" s="100">
        <v>4.3499999999999996</v>
      </c>
      <c r="W31" s="100">
        <v>16.649999999999999</v>
      </c>
      <c r="X31" s="100">
        <v>70.949999999999875</v>
      </c>
    </row>
    <row r="32" spans="1:24" x14ac:dyDescent="0.5">
      <c r="A32" s="93"/>
      <c r="B32" s="93"/>
      <c r="C32" s="93"/>
      <c r="D32" s="93"/>
      <c r="E32" s="93"/>
      <c r="F32" s="93"/>
      <c r="G32" s="93"/>
      <c r="H32" s="93"/>
      <c r="I32" s="93"/>
      <c r="V32" s="100">
        <v>4.3499999999999996</v>
      </c>
      <c r="W32" s="100">
        <v>16.649999999999999</v>
      </c>
      <c r="X32" s="100">
        <v>70.949999999999875</v>
      </c>
    </row>
    <row r="33" spans="1:24" x14ac:dyDescent="0.5">
      <c r="A33" s="93"/>
      <c r="B33" s="93"/>
      <c r="C33" s="93"/>
      <c r="D33" s="93"/>
      <c r="E33" s="93"/>
      <c r="F33" s="93"/>
      <c r="G33" s="93"/>
      <c r="H33" s="93"/>
      <c r="I33" s="93"/>
      <c r="V33" s="100">
        <v>4.3499999999999996</v>
      </c>
      <c r="W33" s="100">
        <v>16.649999999999999</v>
      </c>
      <c r="X33" s="100">
        <v>70.949999999999875</v>
      </c>
    </row>
    <row r="34" spans="1:24" x14ac:dyDescent="0.5">
      <c r="A34" s="93"/>
      <c r="B34" s="93"/>
      <c r="C34" s="93"/>
      <c r="D34" s="93"/>
      <c r="E34" s="93"/>
      <c r="F34" s="93"/>
      <c r="G34" s="93"/>
      <c r="H34" s="93"/>
      <c r="I34" s="93"/>
      <c r="V34" s="100">
        <v>4.3499999999999996</v>
      </c>
      <c r="W34" s="100">
        <v>16.649999999999999</v>
      </c>
      <c r="X34" s="100">
        <v>70.949999999999875</v>
      </c>
    </row>
    <row r="35" spans="1:24" x14ac:dyDescent="0.5">
      <c r="A35" s="93"/>
      <c r="B35" s="93"/>
      <c r="C35" s="93"/>
      <c r="D35" s="93"/>
      <c r="E35" s="93"/>
      <c r="F35" s="93"/>
      <c r="G35" s="93"/>
      <c r="H35" s="93"/>
      <c r="I35" s="93"/>
      <c r="V35" s="100">
        <v>4.3499999999999996</v>
      </c>
      <c r="W35" s="100">
        <v>16.649999999999999</v>
      </c>
      <c r="X35" s="100">
        <v>70.949999999999875</v>
      </c>
    </row>
    <row r="36" spans="1:24" x14ac:dyDescent="0.5">
      <c r="A36" s="93"/>
      <c r="B36" s="93"/>
      <c r="C36" s="93"/>
      <c r="D36" s="93"/>
      <c r="E36" s="93"/>
      <c r="F36" s="93"/>
      <c r="G36" s="93"/>
      <c r="H36" s="93"/>
      <c r="I36" s="93"/>
      <c r="V36" s="100">
        <v>4.3499999999999996</v>
      </c>
      <c r="W36" s="100">
        <v>16.649999999999999</v>
      </c>
      <c r="X36" s="100">
        <v>70.949999999999875</v>
      </c>
    </row>
    <row r="37" spans="1:24" x14ac:dyDescent="0.5">
      <c r="A37" s="93"/>
      <c r="B37" s="93"/>
      <c r="C37" s="93"/>
      <c r="D37" s="93"/>
      <c r="E37" s="93"/>
      <c r="F37" s="93"/>
      <c r="G37" s="93"/>
      <c r="H37" s="93"/>
      <c r="I37" s="93"/>
      <c r="V37" s="100">
        <v>4.3499999999999996</v>
      </c>
      <c r="W37" s="100">
        <v>16.649999999999999</v>
      </c>
      <c r="X37" s="100">
        <v>70.949999999999875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showGridLines="0" zoomScale="85" zoomScaleNormal="85" workbookViewId="0">
      <selection activeCell="D9" sqref="D9"/>
    </sheetView>
  </sheetViews>
  <sheetFormatPr baseColWidth="10" defaultColWidth="8.86328125" defaultRowHeight="14.25" x14ac:dyDescent="0.45"/>
  <cols>
    <col min="6" max="6" width="13.86328125" bestFit="1" customWidth="1"/>
    <col min="7" max="7" width="13.1328125" hidden="1" customWidth="1"/>
  </cols>
  <sheetData>
    <row r="1" spans="1:10" x14ac:dyDescent="0.45">
      <c r="A1" s="52" t="s">
        <v>0</v>
      </c>
      <c r="B1" s="52" t="s">
        <v>1</v>
      </c>
      <c r="C1" s="52" t="s">
        <v>2</v>
      </c>
      <c r="D1" s="52" t="s">
        <v>27</v>
      </c>
      <c r="E1" s="52" t="s">
        <v>28</v>
      </c>
      <c r="F1" s="52" t="s">
        <v>92</v>
      </c>
      <c r="G1" s="52" t="s">
        <v>124</v>
      </c>
      <c r="I1" s="54" t="s">
        <v>26</v>
      </c>
      <c r="J1" s="142">
        <v>0.29808133083174404</v>
      </c>
    </row>
    <row r="2" spans="1:10" x14ac:dyDescent="0.45">
      <c r="A2" s="17">
        <v>1</v>
      </c>
      <c r="B2" s="108">
        <v>37</v>
      </c>
      <c r="C2" s="53"/>
      <c r="D2" s="116">
        <f>B2</f>
        <v>37</v>
      </c>
      <c r="E2" s="116">
        <f>B3-B2</f>
        <v>23</v>
      </c>
      <c r="F2" s="53"/>
      <c r="G2" s="53"/>
      <c r="I2" s="54" t="s">
        <v>29</v>
      </c>
      <c r="J2" s="142">
        <v>1</v>
      </c>
    </row>
    <row r="3" spans="1:10" x14ac:dyDescent="0.45">
      <c r="A3" s="17">
        <v>2</v>
      </c>
      <c r="B3" s="108">
        <v>60</v>
      </c>
      <c r="C3" s="109">
        <f>D2+E2</f>
        <v>60</v>
      </c>
      <c r="D3" s="111">
        <f>$J$1*B3+(1-$J$1)*(D2+E2)</f>
        <v>60</v>
      </c>
      <c r="E3" s="111">
        <f>(1-$J$2)*E2+$J$2*(D3-D2)</f>
        <v>23</v>
      </c>
      <c r="F3" s="53">
        <f>ABS(C3-B3)</f>
        <v>0</v>
      </c>
      <c r="G3" s="53">
        <f t="shared" ref="G3:G11" si="0">F3^2</f>
        <v>0</v>
      </c>
      <c r="I3" s="54" t="s">
        <v>111</v>
      </c>
      <c r="J3" s="71">
        <f>SQRT(AVERAGE(G3:G11))</f>
        <v>5.7983454731007944</v>
      </c>
    </row>
    <row r="4" spans="1:10" x14ac:dyDescent="0.45">
      <c r="A4" s="17">
        <v>3</v>
      </c>
      <c r="B4" s="108">
        <v>85</v>
      </c>
      <c r="C4" s="109">
        <f t="shared" ref="C4:C10" si="1">D3+E3</f>
        <v>83</v>
      </c>
      <c r="D4" s="111">
        <f t="shared" ref="D4:D11" si="2">$J$1*B4+(1-$J$1)*(D3+E3)</f>
        <v>83.596162661663485</v>
      </c>
      <c r="E4" s="111">
        <f t="shared" ref="E4:E11" si="3">(1-$J$2)*E3+$J$2*(D4-D3)</f>
        <v>23.596162661663485</v>
      </c>
      <c r="F4" s="53">
        <f t="shared" ref="F4:F10" si="4">ABS(C4-B4)</f>
        <v>2</v>
      </c>
      <c r="G4" s="53">
        <f t="shared" si="0"/>
        <v>4</v>
      </c>
      <c r="I4" s="161" t="s">
        <v>109</v>
      </c>
      <c r="J4" s="148">
        <f>AVERAGE(F3:F11)</f>
        <v>4.3146464464225351</v>
      </c>
    </row>
    <row r="5" spans="1:10" x14ac:dyDescent="0.45">
      <c r="A5" s="17">
        <v>4</v>
      </c>
      <c r="B5" s="108">
        <v>112</v>
      </c>
      <c r="C5" s="109">
        <f t="shared" si="1"/>
        <v>107.19232532332697</v>
      </c>
      <c r="D5" s="111">
        <f t="shared" si="2"/>
        <v>108.62540338915574</v>
      </c>
      <c r="E5" s="111">
        <f t="shared" si="3"/>
        <v>25.029240727492251</v>
      </c>
      <c r="F5" s="53">
        <f t="shared" si="4"/>
        <v>4.8076746766730309</v>
      </c>
      <c r="G5" s="53">
        <f t="shared" si="0"/>
        <v>23.113735796723134</v>
      </c>
    </row>
    <row r="6" spans="1:10" x14ac:dyDescent="0.45">
      <c r="A6" s="17">
        <v>5</v>
      </c>
      <c r="B6" s="108">
        <v>132</v>
      </c>
      <c r="C6" s="109">
        <f t="shared" si="1"/>
        <v>133.654644116648</v>
      </c>
      <c r="D6" s="111">
        <f t="shared" si="2"/>
        <v>133.16142559630464</v>
      </c>
      <c r="E6" s="111">
        <f t="shared" si="3"/>
        <v>24.536022207148903</v>
      </c>
      <c r="F6" s="53">
        <f t="shared" si="4"/>
        <v>1.6546441166480008</v>
      </c>
      <c r="G6" s="53">
        <f t="shared" si="0"/>
        <v>2.7378471527578427</v>
      </c>
    </row>
    <row r="7" spans="1:10" x14ac:dyDescent="0.45">
      <c r="A7" s="17">
        <v>6</v>
      </c>
      <c r="B7" s="108">
        <v>145</v>
      </c>
      <c r="C7" s="109">
        <f t="shared" si="1"/>
        <v>157.69744780345354</v>
      </c>
      <c r="D7" s="111">
        <f t="shared" si="2"/>
        <v>153.91257566403351</v>
      </c>
      <c r="E7" s="111">
        <f t="shared" si="3"/>
        <v>20.751150067728872</v>
      </c>
      <c r="F7" s="53">
        <f t="shared" si="4"/>
        <v>12.697447803453542</v>
      </c>
      <c r="G7" s="53">
        <f t="shared" si="0"/>
        <v>161.22518072142719</v>
      </c>
    </row>
    <row r="8" spans="1:10" x14ac:dyDescent="0.45">
      <c r="A8" s="17">
        <v>7</v>
      </c>
      <c r="B8" s="108">
        <v>179</v>
      </c>
      <c r="C8" s="109">
        <f t="shared" si="1"/>
        <v>174.66372573176238</v>
      </c>
      <c r="D8" s="111">
        <f t="shared" si="2"/>
        <v>175.95628813649012</v>
      </c>
      <c r="E8" s="111">
        <f t="shared" si="3"/>
        <v>22.043712472456605</v>
      </c>
      <c r="F8" s="53">
        <f t="shared" si="4"/>
        <v>4.3362742682376165</v>
      </c>
      <c r="G8" s="53">
        <f t="shared" si="0"/>
        <v>18.803274529379678</v>
      </c>
    </row>
    <row r="9" spans="1:10" x14ac:dyDescent="0.45">
      <c r="A9" s="17">
        <v>8</v>
      </c>
      <c r="B9" s="108">
        <v>198</v>
      </c>
      <c r="C9" s="109">
        <f>D8+E8</f>
        <v>198.00000060894672</v>
      </c>
      <c r="D9" s="111">
        <f t="shared" si="2"/>
        <v>198.00000042743108</v>
      </c>
      <c r="E9" s="111">
        <f t="shared" si="3"/>
        <v>22.04371229094096</v>
      </c>
      <c r="F9" s="53">
        <f t="shared" si="4"/>
        <v>6.0894672060385346E-7</v>
      </c>
      <c r="G9" s="53">
        <f t="shared" si="0"/>
        <v>3.7081610853418757E-13</v>
      </c>
    </row>
    <row r="10" spans="1:10" x14ac:dyDescent="0.45">
      <c r="A10" s="17">
        <v>9</v>
      </c>
      <c r="B10" s="108">
        <v>212</v>
      </c>
      <c r="C10" s="109">
        <f t="shared" si="1"/>
        <v>220.04371271837203</v>
      </c>
      <c r="D10" s="111">
        <f t="shared" si="2"/>
        <v>217.64603212645147</v>
      </c>
      <c r="E10" s="111">
        <f t="shared" si="3"/>
        <v>19.646031699020398</v>
      </c>
      <c r="F10" s="53">
        <f t="shared" si="4"/>
        <v>8.0437127183720349</v>
      </c>
      <c r="G10" s="53">
        <f t="shared" si="0"/>
        <v>64.70131429570003</v>
      </c>
    </row>
    <row r="11" spans="1:10" x14ac:dyDescent="0.45">
      <c r="A11" s="17">
        <v>10</v>
      </c>
      <c r="B11" s="108">
        <v>232</v>
      </c>
      <c r="C11" s="109">
        <f>D10+E10</f>
        <v>237.29206382547187</v>
      </c>
      <c r="D11" s="111">
        <f t="shared" si="2"/>
        <v>235.71459839752868</v>
      </c>
      <c r="E11" s="111">
        <f t="shared" si="3"/>
        <v>18.068566271077202</v>
      </c>
      <c r="F11" s="53">
        <f>ABS(C11-B11)</f>
        <v>5.292063825471871</v>
      </c>
      <c r="G11" s="53">
        <f t="shared" si="0"/>
        <v>28.005939532867973</v>
      </c>
    </row>
    <row r="12" spans="1:10" x14ac:dyDescent="0.45">
      <c r="A12" s="15">
        <v>11</v>
      </c>
      <c r="C12" s="110">
        <f>D11+$E$11</f>
        <v>253.78316466860588</v>
      </c>
      <c r="D12" s="2"/>
      <c r="E12" s="2"/>
      <c r="F12" s="1"/>
      <c r="G12" s="1"/>
    </row>
    <row r="13" spans="1:10" x14ac:dyDescent="0.45">
      <c r="C13" s="1"/>
      <c r="D13" s="2"/>
      <c r="E13" s="2"/>
      <c r="F13" s="1"/>
      <c r="G13" s="1"/>
    </row>
    <row r="14" spans="1:10" x14ac:dyDescent="0.45">
      <c r="C14" s="1"/>
      <c r="D14" s="2"/>
      <c r="E14" s="2"/>
      <c r="F14" s="1"/>
      <c r="G14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D80723F61E8E48B44C32791AB79EAF" ma:contentTypeVersion="4" ma:contentTypeDescription="Crée un document." ma:contentTypeScope="" ma:versionID="dfeb1cef9289b988e02c62b45d9f1082">
  <xsd:schema xmlns:xsd="http://www.w3.org/2001/XMLSchema" xmlns:xs="http://www.w3.org/2001/XMLSchema" xmlns:p="http://schemas.microsoft.com/office/2006/metadata/properties" xmlns:ns2="fb0af546-8adb-47f3-baac-5cb4c71f4200" targetNamespace="http://schemas.microsoft.com/office/2006/metadata/properties" ma:root="true" ma:fieldsID="e941073ceb027b680dcaca81f0d1cb22" ns2:_="">
    <xsd:import namespace="fb0af546-8adb-47f3-baac-5cb4c71f42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af546-8adb-47f3-baac-5cb4c71f42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62C07F-B5AC-4985-9E08-9C1EEC3CAD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972A55-6FB5-450D-A0FF-51E9D87A833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5A6F954-B64F-43DA-86C7-62E62C188A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0af546-8adb-47f3-baac-5cb4c71f42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Naïve</vt:lpstr>
      <vt:lpstr>Moving Average</vt:lpstr>
      <vt:lpstr>Moving Average (2)</vt:lpstr>
      <vt:lpstr>SES weights</vt:lpstr>
      <vt:lpstr>Simple</vt:lpstr>
      <vt:lpstr>Double</vt:lpstr>
      <vt:lpstr>Damped</vt:lpstr>
      <vt:lpstr>Multiplicative</vt:lpstr>
      <vt:lpstr>Additive</vt:lpstr>
      <vt:lpstr>Simple linear Reg</vt:lpstr>
      <vt:lpstr>Multiple linear Reg</vt:lpstr>
      <vt:lpstr>Tracking Signal</vt:lpstr>
      <vt:lpstr>KPIs1</vt:lpstr>
      <vt:lpstr>KPIs2</vt:lpstr>
      <vt:lpstr>KPIs Example</vt:lpstr>
      <vt:lpstr>Wonsorization</vt:lpstr>
      <vt:lpstr>Parameter Optimization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cp:keywords/>
  <dc:description/>
  <cp:lastModifiedBy>HUMBLET Raphaël</cp:lastModifiedBy>
  <cp:revision/>
  <dcterms:created xsi:type="dcterms:W3CDTF">2018-04-06T18:19:25Z</dcterms:created>
  <dcterms:modified xsi:type="dcterms:W3CDTF">2025-01-20T16:37:46Z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0x010100A2D80723F61E8E48B44C32791AB79EAF</vt:lpwstr>
  </property>
</Properties>
</file>