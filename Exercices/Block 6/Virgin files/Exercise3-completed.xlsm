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alinca/Documents/Documents/Prof NDIAYE/Logistics course 2023-2024/Materials/Block 2 - Logistics Network/2024/"/>
    </mc:Choice>
  </mc:AlternateContent>
  <xr:revisionPtr revIDLastSave="0" documentId="13_ncr:1_{8BC6D7F1-232C-1549-B2BD-F4B4D2DC9B83}" xr6:coauthVersionLast="47" xr6:coauthVersionMax="47" xr10:uidLastSave="{00000000-0000-0000-0000-000000000000}"/>
  <bookViews>
    <workbookView xWindow="0" yWindow="500" windowWidth="24780" windowHeight="12720" activeTab="4" xr2:uid="{00000000-000D-0000-FFFF-FFFF00000000}"/>
  </bookViews>
  <sheets>
    <sheet name="HighOptic" sheetId="3" r:id="rId1"/>
    <sheet name="TelecomOne" sheetId="6" r:id="rId2"/>
    <sheet name="Merged Network with All Plants " sheetId="7" r:id="rId3"/>
    <sheet name="Merged Network with opt Plants " sheetId="8" r:id="rId4"/>
    <sheet name="Merged Network Single Sourcing" sheetId="9" r:id="rId5"/>
  </sheets>
  <definedNames>
    <definedName name="_xlnm.Print_Area" localSheetId="0">HighOptic!$A$1:$I$61</definedName>
    <definedName name="solver_adj" localSheetId="0" hidden="1">HighOptic!$E$15:$G$16</definedName>
    <definedName name="solver_adj" localSheetId="4" hidden="1">'Merged Network Single Sourcing'!$B$14:$H$18</definedName>
    <definedName name="solver_adj" localSheetId="2" hidden="1">'Merged Network with All Plants '!$B$14:$G$18</definedName>
    <definedName name="solver_adj" localSheetId="3" hidden="1">'Merged Network with opt Plants '!$B$14:$H$18</definedName>
    <definedName name="solver_adj" localSheetId="1" hidden="1">TelecomOne!$B$14:$D$14,TelecomOne!$B$17:$D$18</definedName>
    <definedName name="solver_cvg" localSheetId="0" hidden="1">0.001</definedName>
    <definedName name="solver_cvg" localSheetId="4" hidden="1">0.00001</definedName>
    <definedName name="solver_cvg" localSheetId="2" hidden="1">0.001</definedName>
    <definedName name="solver_cvg" localSheetId="3" hidden="1">0.001</definedName>
    <definedName name="solver_cvg" localSheetId="1" hidden="1">0.001</definedName>
    <definedName name="solver_drv" localSheetId="0" hidden="1">1</definedName>
    <definedName name="solver_drv" localSheetId="4" hidden="1">1</definedName>
    <definedName name="solver_drv" localSheetId="2" hidden="1">1</definedName>
    <definedName name="solver_drv" localSheetId="3" hidden="1">1</definedName>
    <definedName name="solver_drv" localSheetId="1" hidden="1">1</definedName>
    <definedName name="solver_dua" localSheetId="0" hidden="1">1</definedName>
    <definedName name="solver_dua" localSheetId="4" hidden="1">1</definedName>
    <definedName name="solver_dua" localSheetId="2" hidden="1">1</definedName>
    <definedName name="solver_dua" localSheetId="3" hidden="1">1</definedName>
    <definedName name="solver_dua" localSheetId="1" hidden="1">1</definedName>
    <definedName name="solver_eng" localSheetId="0" hidden="1">1</definedName>
    <definedName name="solver_eng" localSheetId="4" hidden="1">1</definedName>
    <definedName name="solver_eng" localSheetId="2" hidden="1">1</definedName>
    <definedName name="solver_eng" localSheetId="3" hidden="1">1</definedName>
    <definedName name="solver_eng" localSheetId="1" hidden="1">1</definedName>
    <definedName name="solver_est" localSheetId="0" hidden="1">1</definedName>
    <definedName name="solver_est" localSheetId="4" hidden="1">1</definedName>
    <definedName name="solver_est" localSheetId="2" hidden="1">1</definedName>
    <definedName name="solver_est" localSheetId="3" hidden="1">1</definedName>
    <definedName name="solver_est" localSheetId="1" hidden="1">1</definedName>
    <definedName name="solver_ibd" localSheetId="0" hidden="1">2</definedName>
    <definedName name="solver_ibd" localSheetId="4" hidden="1">2</definedName>
    <definedName name="solver_ibd" localSheetId="2" hidden="1">2</definedName>
    <definedName name="solver_ibd" localSheetId="3" hidden="1">2</definedName>
    <definedName name="solver_ibd" localSheetId="1" hidden="1">2</definedName>
    <definedName name="solver_itr" localSheetId="0" hidden="1">100</definedName>
    <definedName name="solver_itr" localSheetId="4" hidden="1">100</definedName>
    <definedName name="solver_itr" localSheetId="2" hidden="1">100</definedName>
    <definedName name="solver_itr" localSheetId="3" hidden="1">100</definedName>
    <definedName name="solver_itr" localSheetId="1" hidden="1">100</definedName>
    <definedName name="solver_lhs1" localSheetId="0" hidden="1">HighOptic!$B$23</definedName>
    <definedName name="solver_lhs1" localSheetId="4" hidden="1">'Merged Network Single Sourcing'!$B$14:$H$18</definedName>
    <definedName name="solver_lhs1" localSheetId="2" hidden="1">'Merged Network with All Plants '!$B$14:$G$18</definedName>
    <definedName name="solver_lhs1" localSheetId="3" hidden="1">'Merged Network with opt Plants '!$B$14:$G$18</definedName>
    <definedName name="solver_lhs1" localSheetId="1" hidden="1">TelecomOne!$B$14:$D$14</definedName>
    <definedName name="solver_lhs2" localSheetId="0" hidden="1">HighOptic!$B$24</definedName>
    <definedName name="solver_lhs2" localSheetId="4" hidden="1">'Merged Network Single Sourcing'!$B$31:$B$35</definedName>
    <definedName name="solver_lhs2" localSheetId="2" hidden="1">'Merged Network with All Plants '!$B$22:$B$26</definedName>
    <definedName name="solver_lhs2" localSheetId="3" hidden="1">'Merged Network with opt Plants '!$B$22:$B$26</definedName>
    <definedName name="solver_lhs2" localSheetId="1" hidden="1">TelecomOne!$B$17:$D$18</definedName>
    <definedName name="solver_lhs3" localSheetId="0" hidden="1">HighOptic!$E$15:$G$16</definedName>
    <definedName name="solver_lhs3" localSheetId="4" hidden="1">'Merged Network Single Sourcing'!$B$38:$G$38</definedName>
    <definedName name="solver_lhs3" localSheetId="2" hidden="1">'Merged Network with All Plants '!$B$29:$G$29</definedName>
    <definedName name="solver_lhs3" localSheetId="3" hidden="1">'Merged Network with opt Plants '!$B$29:$G$29</definedName>
    <definedName name="solver_lhs3" localSheetId="1" hidden="1">TelecomOne!$B$22</definedName>
    <definedName name="solver_lhs4" localSheetId="0" hidden="1">HighOptic!$E$29:$G$29</definedName>
    <definedName name="solver_lhs4" localSheetId="4" hidden="1">'Merged Network Single Sourcing'!$B$14:$H$18</definedName>
    <definedName name="solver_lhs4" localSheetId="2" hidden="1">'Merged Network with All Plants '!$B$14:$G$18</definedName>
    <definedName name="solver_lhs4" localSheetId="3" hidden="1">'Merged Network with opt Plants '!$H$14:$H$18</definedName>
    <definedName name="solver_lhs4" localSheetId="1" hidden="1">TelecomOne!$B$25</definedName>
    <definedName name="solver_lhs5" localSheetId="0" hidden="1">HighOptic!$B$24</definedName>
    <definedName name="solver_lhs5" localSheetId="4" hidden="1">'Merged Network Single Sourcing'!$B$31:$B$35</definedName>
    <definedName name="solver_lhs5" localSheetId="2" hidden="1">'Merged Network with All Plants '!$B$22:$B$26</definedName>
    <definedName name="solver_lhs5" localSheetId="3" hidden="1">'Merged Network with opt Plants '!$B$22:$B$26</definedName>
    <definedName name="solver_lhs5" localSheetId="1" hidden="1">TelecomOne!$B$26</definedName>
    <definedName name="solver_lhs6" localSheetId="0" hidden="1">HighOptic!$E$29:$G$29</definedName>
    <definedName name="solver_lhs6" localSheetId="4" hidden="1">'Merged Network Single Sourcing'!$B$34</definedName>
    <definedName name="solver_lhs6" localSheetId="2" hidden="1">'Merged Network with All Plants '!$B$25</definedName>
    <definedName name="solver_lhs6" localSheetId="3" hidden="1">'Merged Network with opt Plants '!$B$25</definedName>
    <definedName name="solver_lhs6" localSheetId="1" hidden="1">TelecomOne!$B$29:$D$29</definedName>
    <definedName name="solver_lhs7" localSheetId="4" hidden="1">'Merged Network Single Sourcing'!$B$35</definedName>
    <definedName name="solver_lhs7" localSheetId="2" hidden="1">'Merged Network with All Plants '!$B$26</definedName>
    <definedName name="solver_lhs7" localSheetId="3" hidden="1">'Merged Network with opt Plants '!$B$26</definedName>
    <definedName name="solver_lhs7" localSheetId="1" hidden="1">TelecomOne!$B$26</definedName>
    <definedName name="solver_lin" localSheetId="0" hidden="1">2</definedName>
    <definedName name="solver_lin" localSheetId="4" hidden="1">2</definedName>
    <definedName name="solver_lin" localSheetId="2" hidden="1">2</definedName>
    <definedName name="solver_lin" localSheetId="3" hidden="1">2</definedName>
    <definedName name="solver_lin" localSheetId="1" hidden="1">2</definedName>
    <definedName name="solver_lva" localSheetId="0" hidden="1">2</definedName>
    <definedName name="solver_lva" localSheetId="4" hidden="1">2</definedName>
    <definedName name="solver_lva" localSheetId="2" hidden="1">2</definedName>
    <definedName name="solver_lva" localSheetId="3" hidden="1">2</definedName>
    <definedName name="solver_lva" localSheetId="1" hidden="1">2</definedName>
    <definedName name="solver_mip" localSheetId="0" hidden="1">1000</definedName>
    <definedName name="solver_mip" localSheetId="4" hidden="1">1000</definedName>
    <definedName name="solver_mip" localSheetId="2" hidden="1">1000</definedName>
    <definedName name="solver_mip" localSheetId="3" hidden="1">1000</definedName>
    <definedName name="solver_mip" localSheetId="1" hidden="1">1000</definedName>
    <definedName name="solver_mni" localSheetId="0" hidden="1">30</definedName>
    <definedName name="solver_mni" localSheetId="4" hidden="1">30</definedName>
    <definedName name="solver_mni" localSheetId="1" hidden="1">30</definedName>
    <definedName name="solver_mrt" localSheetId="0" hidden="1">0.075</definedName>
    <definedName name="solver_mrt" localSheetId="4" hidden="1">0.075</definedName>
    <definedName name="solver_mrt" localSheetId="1" hidden="1">0.075</definedName>
    <definedName name="solver_msl" localSheetId="0" hidden="1">2</definedName>
    <definedName name="solver_msl" localSheetId="4" hidden="1">2</definedName>
    <definedName name="solver_msl" localSheetId="2" hidden="1">2</definedName>
    <definedName name="solver_msl" localSheetId="3" hidden="1">2</definedName>
    <definedName name="solver_msl" localSheetId="1" hidden="1">2</definedName>
    <definedName name="solver_neg" localSheetId="0" hidden="1">2</definedName>
    <definedName name="solver_neg" localSheetId="4" hidden="1">2</definedName>
    <definedName name="solver_neg" localSheetId="2" hidden="1">2</definedName>
    <definedName name="solver_neg" localSheetId="3" hidden="1">2</definedName>
    <definedName name="solver_neg" localSheetId="1" hidden="1">2</definedName>
    <definedName name="solver_nod" localSheetId="0" hidden="1">1000</definedName>
    <definedName name="solver_nod" localSheetId="4" hidden="1">1000</definedName>
    <definedName name="solver_nod" localSheetId="2" hidden="1">1000</definedName>
    <definedName name="solver_nod" localSheetId="3" hidden="1">1000</definedName>
    <definedName name="solver_nod" localSheetId="1" hidden="1">1000</definedName>
    <definedName name="solver_num" localSheetId="0" hidden="1">4</definedName>
    <definedName name="solver_num" localSheetId="4" hidden="1">3</definedName>
    <definedName name="solver_num" localSheetId="2" hidden="1">3</definedName>
    <definedName name="solver_num" localSheetId="3" hidden="1">4</definedName>
    <definedName name="solver_num" localSheetId="1" hidden="1">6</definedName>
    <definedName name="solver_nwt" localSheetId="0" hidden="1">1</definedName>
    <definedName name="solver_nwt" localSheetId="4" hidden="1">1</definedName>
    <definedName name="solver_nwt" localSheetId="2" hidden="1">1</definedName>
    <definedName name="solver_nwt" localSheetId="3" hidden="1">1</definedName>
    <definedName name="solver_nwt" localSheetId="1" hidden="1">1</definedName>
    <definedName name="solver_ofx" localSheetId="0" hidden="1">2</definedName>
    <definedName name="solver_ofx" localSheetId="4" hidden="1">2</definedName>
    <definedName name="solver_ofx" localSheetId="2" hidden="1">2</definedName>
    <definedName name="solver_ofx" localSheetId="3" hidden="1">2</definedName>
    <definedName name="solver_ofx" localSheetId="1" hidden="1">2</definedName>
    <definedName name="solver_opt" localSheetId="0" hidden="1">HighOptic!$B$32</definedName>
    <definedName name="solver_opt" localSheetId="4" hidden="1">'Merged Network Single Sourcing'!$B$41</definedName>
    <definedName name="solver_opt" localSheetId="2" hidden="1">'Merged Network with All Plants '!$B$32</definedName>
    <definedName name="solver_opt" localSheetId="3" hidden="1">'Merged Network with opt Plants '!$B$32</definedName>
    <definedName name="solver_opt" localSheetId="1" hidden="1">TelecomOne!$B$32</definedName>
    <definedName name="solver_pre" localSheetId="0" hidden="1">0.000001</definedName>
    <definedName name="solver_pre" localSheetId="4" hidden="1">0.00000001</definedName>
    <definedName name="solver_pre" localSheetId="2" hidden="1">0.000001</definedName>
    <definedName name="solver_pre" localSheetId="3" hidden="1">0.000001</definedName>
    <definedName name="solver_pre" localSheetId="1" hidden="1">0.000001</definedName>
    <definedName name="solver_pro" localSheetId="0" hidden="1">2</definedName>
    <definedName name="solver_pro" localSheetId="4" hidden="1">2</definedName>
    <definedName name="solver_pro" localSheetId="2" hidden="1">2</definedName>
    <definedName name="solver_pro" localSheetId="3" hidden="1">2</definedName>
    <definedName name="solver_pro" localSheetId="1" hidden="1">2</definedName>
    <definedName name="solver_rbv" localSheetId="0" hidden="1">1</definedName>
    <definedName name="solver_rbv" localSheetId="4" hidden="1">1</definedName>
    <definedName name="solver_rbv" localSheetId="2" hidden="1">1</definedName>
    <definedName name="solver_rbv" localSheetId="3" hidden="1">1</definedName>
    <definedName name="solver_rbv" localSheetId="1" hidden="1">1</definedName>
    <definedName name="solver_rel1" localSheetId="0" hidden="1">3</definedName>
    <definedName name="solver_rel1" localSheetId="4" hidden="1">5</definedName>
    <definedName name="solver_rel1" localSheetId="2" hidden="1">3</definedName>
    <definedName name="solver_rel1" localSheetId="3" hidden="1">3</definedName>
    <definedName name="solver_rel1" localSheetId="1" hidden="1">3</definedName>
    <definedName name="solver_rel2" localSheetId="0" hidden="1">3</definedName>
    <definedName name="solver_rel2" localSheetId="4" hidden="1">3</definedName>
    <definedName name="solver_rel2" localSheetId="2" hidden="1">3</definedName>
    <definedName name="solver_rel2" localSheetId="3" hidden="1">3</definedName>
    <definedName name="solver_rel2" localSheetId="1" hidden="1">3</definedName>
    <definedName name="solver_rel3" localSheetId="0" hidden="1">3</definedName>
    <definedName name="solver_rel3" localSheetId="4" hidden="1">2</definedName>
    <definedName name="solver_rel3" localSheetId="2" hidden="1">2</definedName>
    <definedName name="solver_rel3" localSheetId="3" hidden="1">2</definedName>
    <definedName name="solver_rel3" localSheetId="1" hidden="1">3</definedName>
    <definedName name="solver_rel4" localSheetId="0" hidden="1">2</definedName>
    <definedName name="solver_rel4" localSheetId="4" hidden="1">5</definedName>
    <definedName name="solver_rel4" localSheetId="2" hidden="1">3</definedName>
    <definedName name="solver_rel4" localSheetId="3" hidden="1">5</definedName>
    <definedName name="solver_rel4" localSheetId="1" hidden="1">3</definedName>
    <definedName name="solver_rel5" localSheetId="0" hidden="1">3</definedName>
    <definedName name="solver_rel5" localSheetId="4" hidden="1">3</definedName>
    <definedName name="solver_rel5" localSheetId="2" hidden="1">3</definedName>
    <definedName name="solver_rel5" localSheetId="3" hidden="1">3</definedName>
    <definedName name="solver_rel5" localSheetId="1" hidden="1">3</definedName>
    <definedName name="solver_rel6" localSheetId="0" hidden="1">2</definedName>
    <definedName name="solver_rel6" localSheetId="4" hidden="1">3</definedName>
    <definedName name="solver_rel6" localSheetId="2" hidden="1">3</definedName>
    <definedName name="solver_rel6" localSheetId="3" hidden="1">3</definedName>
    <definedName name="solver_rel6" localSheetId="1" hidden="1">2</definedName>
    <definedName name="solver_rel7" localSheetId="4" hidden="1">3</definedName>
    <definedName name="solver_rel7" localSheetId="2" hidden="1">3</definedName>
    <definedName name="solver_rel7" localSheetId="3" hidden="1">3</definedName>
    <definedName name="solver_rel7" localSheetId="1" hidden="1">3</definedName>
    <definedName name="solver_reo" localSheetId="0" hidden="1">2</definedName>
    <definedName name="solver_reo" localSheetId="4" hidden="1">2</definedName>
    <definedName name="solver_reo" localSheetId="2" hidden="1">2</definedName>
    <definedName name="solver_reo" localSheetId="3" hidden="1">2</definedName>
    <definedName name="solver_reo" localSheetId="1" hidden="1">2</definedName>
    <definedName name="solver_rep" localSheetId="0" hidden="1">2</definedName>
    <definedName name="solver_rep" localSheetId="4" hidden="1">2</definedName>
    <definedName name="solver_rep" localSheetId="2" hidden="1">2</definedName>
    <definedName name="solver_rep" localSheetId="3" hidden="1">2</definedName>
    <definedName name="solver_rep" localSheetId="1" hidden="1">2</definedName>
    <definedName name="solver_rhs1" localSheetId="0" hidden="1">0</definedName>
    <definedName name="solver_rhs1" localSheetId="4" hidden="1">"binary"</definedName>
    <definedName name="solver_rhs1" localSheetId="2" hidden="1">0</definedName>
    <definedName name="solver_rhs1" localSheetId="3" hidden="1">0</definedName>
    <definedName name="solver_rhs1" localSheetId="1" hidden="1">0</definedName>
    <definedName name="solver_rhs2" localSheetId="0" hidden="1">0</definedName>
    <definedName name="solver_rhs2" localSheetId="4" hidden="1">0</definedName>
    <definedName name="solver_rhs2" localSheetId="2" hidden="1">0</definedName>
    <definedName name="solver_rhs2" localSheetId="3" hidden="1">0</definedName>
    <definedName name="solver_rhs2" localSheetId="1" hidden="1">0</definedName>
    <definedName name="solver_rhs3" localSheetId="0" hidden="1">0</definedName>
    <definedName name="solver_rhs3" localSheetId="4" hidden="1">1</definedName>
    <definedName name="solver_rhs3" localSheetId="2" hidden="1">0</definedName>
    <definedName name="solver_rhs3" localSheetId="3" hidden="1">0</definedName>
    <definedName name="solver_rhs3" localSheetId="1" hidden="1">0</definedName>
    <definedName name="solver_rhs4" localSheetId="0" hidden="1">0</definedName>
    <definedName name="solver_rhs4" localSheetId="4" hidden="1">binary</definedName>
    <definedName name="solver_rhs4" localSheetId="2" hidden="1">0</definedName>
    <definedName name="solver_rhs4" localSheetId="3" hidden="1">binary</definedName>
    <definedName name="solver_rhs4" localSheetId="1" hidden="1">0</definedName>
    <definedName name="solver_rhs5" localSheetId="0" hidden="1">0</definedName>
    <definedName name="solver_rhs5" localSheetId="4" hidden="1">0</definedName>
    <definedName name="solver_rhs5" localSheetId="2" hidden="1">0</definedName>
    <definedName name="solver_rhs5" localSheetId="3" hidden="1">0</definedName>
    <definedName name="solver_rhs5" localSheetId="1" hidden="1">0</definedName>
    <definedName name="solver_rhs6" localSheetId="0" hidden="1">0</definedName>
    <definedName name="solver_rhs6" localSheetId="4" hidden="1">0</definedName>
    <definedName name="solver_rhs6" localSheetId="2" hidden="1">0</definedName>
    <definedName name="solver_rhs6" localSheetId="3" hidden="1">0</definedName>
    <definedName name="solver_rhs6" localSheetId="1" hidden="1">0</definedName>
    <definedName name="solver_rhs7" localSheetId="4" hidden="1">0</definedName>
    <definedName name="solver_rhs7" localSheetId="2" hidden="1">0</definedName>
    <definedName name="solver_rhs7" localSheetId="3" hidden="1">0</definedName>
    <definedName name="solver_rhs7" localSheetId="1" hidden="1">0</definedName>
    <definedName name="solver_rlx" localSheetId="0" hidden="1">2</definedName>
    <definedName name="solver_rlx" localSheetId="4" hidden="1">2</definedName>
    <definedName name="solver_rlx" localSheetId="2" hidden="1">2</definedName>
    <definedName name="solver_rlx" localSheetId="3" hidden="1">2</definedName>
    <definedName name="solver_rlx" localSheetId="1" hidden="1">2</definedName>
    <definedName name="solver_rsd" localSheetId="0" hidden="1">0</definedName>
    <definedName name="solver_rsd" localSheetId="4" hidden="1">0</definedName>
    <definedName name="solver_rsd" localSheetId="1" hidden="1">0</definedName>
    <definedName name="solver_scl" localSheetId="0" hidden="1">2</definedName>
    <definedName name="solver_scl" localSheetId="4" hidden="1">2</definedName>
    <definedName name="solver_scl" localSheetId="2" hidden="1">2</definedName>
    <definedName name="solver_scl" localSheetId="3" hidden="1">2</definedName>
    <definedName name="solver_scl" localSheetId="1" hidden="1">2</definedName>
    <definedName name="solver_sho" localSheetId="0" hidden="1">2</definedName>
    <definedName name="solver_sho" localSheetId="4" hidden="1">2</definedName>
    <definedName name="solver_sho" localSheetId="2" hidden="1">2</definedName>
    <definedName name="solver_sho" localSheetId="3" hidden="1">2</definedName>
    <definedName name="solver_sho" localSheetId="1" hidden="1">2</definedName>
    <definedName name="solver_ssz" localSheetId="0" hidden="1">0</definedName>
    <definedName name="solver_ssz" localSheetId="4" hidden="1">0</definedName>
    <definedName name="solver_ssz" localSheetId="2" hidden="1">0</definedName>
    <definedName name="solver_ssz" localSheetId="3" hidden="1">0</definedName>
    <definedName name="solver_ssz" localSheetId="1" hidden="1">0</definedName>
    <definedName name="solver_tim" localSheetId="0" hidden="1">100</definedName>
    <definedName name="solver_tim" localSheetId="4" hidden="1">100</definedName>
    <definedName name="solver_tim" localSheetId="2" hidden="1">100</definedName>
    <definedName name="solver_tim" localSheetId="3" hidden="1">100</definedName>
    <definedName name="solver_tim" localSheetId="1" hidden="1">100</definedName>
    <definedName name="solver_tms" localSheetId="0" hidden="1">2</definedName>
    <definedName name="solver_tms" localSheetId="4" hidden="1">2</definedName>
    <definedName name="solver_tms" localSheetId="2" hidden="1">2</definedName>
    <definedName name="solver_tms" localSheetId="3" hidden="1">2</definedName>
    <definedName name="solver_tms" localSheetId="1" hidden="1">2</definedName>
    <definedName name="solver_tol" localSheetId="0" hidden="1">0.05</definedName>
    <definedName name="solver_tol" localSheetId="4" hidden="1">0.00000005</definedName>
    <definedName name="solver_tol" localSheetId="2" hidden="1">0.05</definedName>
    <definedName name="solver_tol" localSheetId="3" hidden="1">0.05</definedName>
    <definedName name="solver_tol" localSheetId="1" hidden="1">0.05</definedName>
    <definedName name="solver_typ" localSheetId="0" hidden="1">2</definedName>
    <definedName name="solver_typ" localSheetId="4" hidden="1">2</definedName>
    <definedName name="solver_typ" localSheetId="2" hidden="1">2</definedName>
    <definedName name="solver_typ" localSheetId="3" hidden="1">2</definedName>
    <definedName name="solver_typ" localSheetId="1" hidden="1">2</definedName>
    <definedName name="solver_val" localSheetId="0" hidden="1">0</definedName>
    <definedName name="solver_val" localSheetId="4" hidden="1">0</definedName>
    <definedName name="solver_val" localSheetId="2" hidden="1">0</definedName>
    <definedName name="solver_val" localSheetId="3" hidden="1">0</definedName>
    <definedName name="solver_val" localSheetId="1" hidden="1">0</definedName>
    <definedName name="solver_ver" localSheetId="0" hidden="1">2</definedName>
    <definedName name="solver_ver" localSheetId="4" hidden="1">2</definedName>
    <definedName name="solver_ver" localSheetId="2" hidden="1">2</definedName>
    <definedName name="solver_ver" localSheetId="3" hidden="1">2</definedName>
    <definedName name="solver_ver" localSheetId="1" hidden="1">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1" i="9" l="1"/>
  <c r="B32" i="7"/>
  <c r="B29" i="7"/>
  <c r="B32" i="6"/>
  <c r="B32" i="8"/>
  <c r="B26" i="8"/>
  <c r="B25" i="8"/>
  <c r="B24" i="8"/>
  <c r="B23" i="8"/>
  <c r="B22" i="8"/>
  <c r="G29" i="8"/>
  <c r="F29" i="8"/>
  <c r="E29" i="8"/>
  <c r="D29" i="8"/>
  <c r="C29" i="8"/>
  <c r="B29" i="8"/>
  <c r="G22" i="7"/>
  <c r="B26" i="7"/>
  <c r="B25" i="7"/>
  <c r="B24" i="7"/>
  <c r="B23" i="7"/>
  <c r="B22" i="7"/>
  <c r="G29" i="7"/>
  <c r="F29" i="7"/>
  <c r="E29" i="7"/>
  <c r="D29" i="7"/>
  <c r="C29" i="7"/>
  <c r="G38" i="9"/>
  <c r="F38" i="9"/>
  <c r="E38" i="9"/>
  <c r="D38" i="9"/>
  <c r="C38" i="9"/>
  <c r="B38" i="9"/>
  <c r="B35" i="9"/>
  <c r="B34" i="9"/>
  <c r="B33" i="9"/>
  <c r="B32" i="9"/>
  <c r="B31" i="9"/>
  <c r="B23" i="9"/>
  <c r="C23" i="9"/>
  <c r="G27" i="9"/>
  <c r="F27" i="9"/>
  <c r="E27" i="9"/>
  <c r="D27" i="9"/>
  <c r="C27" i="9"/>
  <c r="G26" i="9"/>
  <c r="F26" i="9"/>
  <c r="E26" i="9"/>
  <c r="D26" i="9"/>
  <c r="C26" i="9"/>
  <c r="G25" i="9"/>
  <c r="F25" i="9"/>
  <c r="E25" i="9"/>
  <c r="D25" i="9"/>
  <c r="C25" i="9"/>
  <c r="G24" i="9"/>
  <c r="F24" i="9"/>
  <c r="E24" i="9"/>
  <c r="D24" i="9"/>
  <c r="C24" i="9"/>
  <c r="G23" i="9"/>
  <c r="F23" i="9"/>
  <c r="E23" i="9"/>
  <c r="D23" i="9"/>
  <c r="B27" i="9"/>
  <c r="B26" i="9"/>
  <c r="B25" i="9"/>
  <c r="B24" i="9"/>
  <c r="B32" i="3"/>
  <c r="B23" i="3"/>
  <c r="E29" i="3"/>
  <c r="F29" i="3"/>
  <c r="G29" i="3"/>
  <c r="B24" i="3"/>
  <c r="B22" i="3"/>
  <c r="B26" i="3"/>
  <c r="B25" i="3"/>
  <c r="D29" i="3"/>
  <c r="C29" i="3"/>
  <c r="B29" i="3"/>
  <c r="B22" i="6"/>
  <c r="B25" i="6"/>
  <c r="B26" i="6"/>
  <c r="B29" i="6"/>
  <c r="C29" i="6"/>
  <c r="D29" i="6"/>
  <c r="B24" i="6"/>
  <c r="B23" i="6"/>
  <c r="G29" i="6"/>
  <c r="F29" i="6"/>
  <c r="E29" i="6"/>
</calcChain>
</file>

<file path=xl/sharedStrings.xml><?xml version="1.0" encoding="utf-8"?>
<sst xmlns="http://schemas.openxmlformats.org/spreadsheetml/2006/main" count="275" uniqueCount="33">
  <si>
    <t>Inputs - Costs, Capacities, Demands ( for HighOptic)</t>
  </si>
  <si>
    <t>Demand City
Production and Transportation Cost per 1000 Units</t>
  </si>
  <si>
    <t xml:space="preserve">Fixed </t>
  </si>
  <si>
    <t>Capa-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</si>
  <si>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</si>
  <si>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</si>
  <si>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</si>
  <si>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</si>
  <si>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</si>
  <si>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</si>
  <si>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</si>
  <si>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</si>
  <si>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city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</si>
  <si>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</si>
  <si>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</si>
  <si>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</si>
  <si>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</si>
  <si>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</si>
  <si>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</si>
  <si>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</si>
  <si>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</si>
  <si>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</si>
  <si>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</si>
  <si>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</si>
  <si>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</si>
  <si>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</si>
  <si>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</si>
  <si>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</si>
  <si>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Inputs - Costs, Capacities, Demands ( for TelecomOne)</t>
  </si>
  <si>
    <t>Inputs - Costs, Capacities, Demands (for TelecomOptic)</t>
  </si>
  <si>
    <t xml:space="preserve">      Total Available Capacity</t>
  </si>
  <si>
    <t>Demand City Supplied (1 indicates Cities Supplied)</t>
  </si>
  <si>
    <t>Resulting Production 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</si>
</sst>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3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6" xfId="0" applyBorder="1"/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4" fillId="0" borderId="25" xfId="0" applyFont="1" applyBorder="1"/>
    <xf numFmtId="0" fontId="4" fillId="0" borderId="26" xfId="0" applyFont="1" applyBorder="1"/>
    <xf numFmtId="0" fontId="0" fillId="0" borderId="27" xfId="0" applyBorder="1" applyAlignment="1">
      <alignment horizontal="right"/>
    </xf>
    <xf numFmtId="0" fontId="0" fillId="2" borderId="28" xfId="0" applyFill="1" applyBorder="1"/>
    <xf numFmtId="0" fontId="0" fillId="2" borderId="11" xfId="0" applyFill="1" applyBorder="1"/>
    <xf numFmtId="0" fontId="0" fillId="2" borderId="29" xfId="0" applyFill="1" applyBorder="1"/>
    <xf numFmtId="167" fontId="0" fillId="0" borderId="28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30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31" xfId="1" applyNumberFormat="1" applyFont="1" applyBorder="1"/>
    <xf numFmtId="167" fontId="0" fillId="0" borderId="32" xfId="1" applyNumberFormat="1" applyFont="1" applyBorder="1"/>
    <xf numFmtId="0" fontId="2" fillId="0" borderId="33" xfId="0" applyFont="1" applyBorder="1"/>
    <xf numFmtId="166" fontId="0" fillId="0" borderId="34" xfId="2" applyNumberFormat="1" applyFont="1" applyBorder="1"/>
    <xf numFmtId="0" fontId="4" fillId="0" borderId="4" xfId="0" applyFont="1" applyBorder="1"/>
    <xf numFmtId="167" fontId="1" fillId="0" borderId="28" xfId="1" applyNumberFormat="1" applyBorder="1"/>
    <xf numFmtId="167" fontId="1" fillId="0" borderId="11" xfId="1" applyNumberFormat="1" applyBorder="1"/>
    <xf numFmtId="167" fontId="1" fillId="0" borderId="31" xfId="1" applyNumberFormat="1" applyBorder="1"/>
    <xf numFmtId="167" fontId="1" fillId="0" borderId="9" xfId="1" applyNumberFormat="1" applyBorder="1"/>
    <xf numFmtId="167" fontId="1" fillId="0" borderId="0" xfId="1" applyNumberFormat="1" applyBorder="1"/>
    <xf numFmtId="167" fontId="1" fillId="0" borderId="32" xfId="1" applyNumberFormat="1" applyBorder="1"/>
    <xf numFmtId="166" fontId="1" fillId="0" borderId="34" xfId="2" applyNumberFormat="1" applyBorder="1"/>
    <xf numFmtId="0" fontId="0" fillId="0" borderId="35" xfId="0" applyBorder="1"/>
    <xf numFmtId="0" fontId="0" fillId="2" borderId="16" xfId="0" applyFill="1" applyBorder="1"/>
    <xf numFmtId="0" fontId="0" fillId="2" borderId="5" xfId="0" applyFill="1" applyBorder="1"/>
    <xf numFmtId="0" fontId="0" fillId="2" borderId="36" xfId="0" applyFill="1" applyBorder="1"/>
    <xf numFmtId="0" fontId="0" fillId="2" borderId="15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21" xfId="0" applyFill="1" applyBorder="1" applyAlignment="1">
      <alignment horizontal="right"/>
    </xf>
    <xf numFmtId="0" fontId="0" fillId="2" borderId="22" xfId="0" applyFill="1" applyBorder="1" applyAlignment="1">
      <alignment horizontal="right"/>
    </xf>
    <xf numFmtId="0" fontId="0" fillId="2" borderId="23" xfId="0" applyFill="1" applyBorder="1" applyAlignment="1">
      <alignment horizontal="right"/>
    </xf>
    <xf numFmtId="0" fontId="3" fillId="0" borderId="20" xfId="0" applyFont="1" applyBorder="1" applyAlignment="1">
      <alignment horizontal="right" wrapText="1"/>
    </xf>
    <xf numFmtId="1" fontId="0" fillId="0" borderId="28" xfId="1" applyNumberFormat="1" applyFont="1" applyFill="1" applyBorder="1"/>
    <xf numFmtId="1" fontId="0" fillId="0" borderId="11" xfId="1" applyNumberFormat="1" applyFont="1" applyFill="1" applyBorder="1"/>
    <xf numFmtId="1" fontId="0" fillId="0" borderId="11" xfId="1" applyNumberFormat="1" applyFont="1" applyBorder="1"/>
    <xf numFmtId="1" fontId="0" fillId="0" borderId="9" xfId="1" applyNumberFormat="1" applyFont="1" applyFill="1" applyBorder="1"/>
    <xf numFmtId="1" fontId="0" fillId="0" borderId="0" xfId="1" applyNumberFormat="1" applyFont="1" applyFill="1" applyBorder="1"/>
    <xf numFmtId="1" fontId="0" fillId="0" borderId="35" xfId="1" applyNumberFormat="1" applyFont="1" applyFill="1" applyBorder="1"/>
    <xf numFmtId="1" fontId="0" fillId="0" borderId="9" xfId="1" applyNumberFormat="1" applyFont="1" applyBorder="1"/>
    <xf numFmtId="1" fontId="0" fillId="0" borderId="0" xfId="1" applyNumberFormat="1" applyFont="1" applyBorder="1"/>
    <xf numFmtId="1" fontId="0" fillId="0" borderId="16" xfId="1" applyNumberFormat="1" applyFont="1" applyFill="1" applyBorder="1"/>
    <xf numFmtId="1" fontId="0" fillId="0" borderId="5" xfId="1" applyNumberFormat="1" applyFont="1" applyFill="1" applyBorder="1"/>
    <xf numFmtId="1" fontId="0" fillId="0" borderId="5" xfId="1" applyNumberFormat="1" applyFont="1" applyBorder="1"/>
    <xf numFmtId="1" fontId="0" fillId="0" borderId="9" xfId="0" applyNumberFormat="1" applyBorder="1"/>
    <xf numFmtId="1" fontId="0" fillId="0" borderId="16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1" fillId="0" borderId="28" xfId="1" applyNumberFormat="1" applyFill="1" applyBorder="1"/>
    <xf numFmtId="1" fontId="1" fillId="0" borderId="11" xfId="1" applyNumberFormat="1" applyFill="1" applyBorder="1"/>
    <xf numFmtId="1" fontId="1" fillId="0" borderId="11" xfId="1" applyNumberFormat="1" applyBorder="1"/>
    <xf numFmtId="1" fontId="1" fillId="0" borderId="9" xfId="1" applyNumberFormat="1" applyFill="1" applyBorder="1"/>
    <xf numFmtId="1" fontId="1" fillId="0" borderId="0" xfId="1" applyNumberFormat="1" applyFill="1" applyBorder="1"/>
    <xf numFmtId="1" fontId="1" fillId="0" borderId="35" xfId="1" applyNumberFormat="1" applyFill="1" applyBorder="1"/>
    <xf numFmtId="1" fontId="1" fillId="0" borderId="9" xfId="1" applyNumberFormat="1" applyBorder="1"/>
    <xf numFmtId="1" fontId="1" fillId="0" borderId="0" xfId="1" applyNumberFormat="1" applyBorder="1"/>
    <xf numFmtId="1" fontId="1" fillId="0" borderId="16" xfId="1" applyNumberFormat="1" applyFill="1" applyBorder="1"/>
    <xf numFmtId="1" fontId="1" fillId="0" borderId="5" xfId="1" applyNumberFormat="1" applyFill="1" applyBorder="1"/>
    <xf numFmtId="1" fontId="1" fillId="0" borderId="5" xfId="1" applyNumberFormat="1" applyBorder="1"/>
    <xf numFmtId="0" fontId="0" fillId="0" borderId="0" xfId="0" applyAlignment="1">
      <alignment horizontal="right"/>
    </xf>
    <xf numFmtId="0" fontId="0" fillId="0" borderId="38" xfId="0" applyBorder="1" applyAlignment="1">
      <alignment horizontal="right"/>
    </xf>
    <xf numFmtId="1" fontId="1" fillId="0" borderId="12" xfId="1" applyNumberFormat="1" applyBorder="1"/>
    <xf numFmtId="1" fontId="1" fillId="0" borderId="3" xfId="1" applyNumberFormat="1" applyFill="1" applyBorder="1"/>
    <xf numFmtId="1" fontId="1" fillId="0" borderId="3" xfId="1" applyNumberFormat="1" applyBorder="1"/>
    <xf numFmtId="1" fontId="1" fillId="0" borderId="6" xfId="1" applyNumberFormat="1" applyBorder="1"/>
    <xf numFmtId="0" fontId="4" fillId="0" borderId="0" xfId="0" applyFont="1"/>
    <xf numFmtId="0" fontId="4" fillId="0" borderId="3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1" fontId="0" fillId="0" borderId="28" xfId="0" applyNumberFormat="1" applyBorder="1"/>
    <xf numFmtId="1" fontId="0" fillId="0" borderId="11" xfId="0" applyNumberFormat="1" applyBorder="1"/>
    <xf numFmtId="1" fontId="0" fillId="0" borderId="0" xfId="0" applyNumberFormat="1"/>
    <xf numFmtId="1" fontId="0" fillId="2" borderId="28" xfId="0" applyNumberFormat="1" applyFill="1" applyBorder="1"/>
    <xf numFmtId="1" fontId="0" fillId="2" borderId="11" xfId="0" applyNumberFormat="1" applyFill="1" applyBorder="1"/>
    <xf numFmtId="1" fontId="0" fillId="2" borderId="29" xfId="0" applyNumberFormat="1" applyFill="1" applyBorder="1"/>
    <xf numFmtId="1" fontId="0" fillId="2" borderId="39" xfId="0" applyNumberFormat="1" applyFill="1" applyBorder="1"/>
    <xf numFmtId="1" fontId="0" fillId="2" borderId="13" xfId="0" applyNumberFormat="1" applyFill="1" applyBorder="1"/>
    <xf numFmtId="1" fontId="0" fillId="2" borderId="40" xfId="0" applyNumberFormat="1" applyFill="1" applyBorder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41" xfId="0" applyFont="1" applyBorder="1" applyAlignment="1">
      <alignment horizontal="right"/>
    </xf>
    <xf numFmtId="166" fontId="0" fillId="0" borderId="0" xfId="0" applyNumberFormat="1"/>
    <xf numFmtId="0" fontId="7" fillId="0" borderId="0" xfId="0" applyFont="1"/>
    <xf numFmtId="0" fontId="8" fillId="0" borderId="0" xfId="0" applyFont="1"/>
    <xf numFmtId="166" fontId="3" fillId="0" borderId="0" xfId="0" applyNumberFormat="1" applyFont="1"/>
    <xf numFmtId="0" fontId="1" fillId="0" borderId="0" xfId="0" applyFont="1"/>
    <xf numFmtId="0" fontId="4" fillId="0" borderId="26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0" fillId="0" borderId="7" xfId="0" applyBorder="1"/>
    <xf numFmtId="0" fontId="0" fillId="0" borderId="42" xfId="0" applyBorder="1"/>
    <xf numFmtId="0" fontId="0" fillId="0" borderId="8" xfId="0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80210</xdr:colOff>
      <xdr:row>30</xdr:row>
      <xdr:rowOff>10026</xdr:rowOff>
    </xdr:from>
    <xdr:ext cx="3713965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54868" y="4632158"/>
          <a:ext cx="3713965" cy="609013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Optimal Demand Allocation for HighOptic </a:t>
          </a:r>
          <a:endParaRPr lang="en-US" sz="1100" b="0"/>
        </a:p>
        <a:p>
          <a:r>
            <a:rPr lang="en-US" sz="1100" b="0"/>
            <a:t>1. Using Data | Analysis | Solver, solve the demand allocation</a:t>
          </a:r>
        </a:p>
        <a:p>
          <a:r>
            <a:rPr lang="en-US" sz="1100" b="0"/>
            <a:t>problem for HighOptic</a:t>
          </a:r>
          <a:endParaRPr 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90237</xdr:colOff>
      <xdr:row>29</xdr:row>
      <xdr:rowOff>70185</xdr:rowOff>
    </xdr:from>
    <xdr:ext cx="3702680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108869" y="4735764"/>
          <a:ext cx="3702680" cy="609013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Optimal Demand Allocation for TelecomOne </a:t>
          </a:r>
          <a:endParaRPr lang="en-US" sz="1100" b="0"/>
        </a:p>
        <a:p>
          <a:r>
            <a:rPr lang="en-US" sz="1100" b="0"/>
            <a:t>1. Using Data | Analysis | Solver, solve the demand allocation</a:t>
          </a:r>
        </a:p>
        <a:p>
          <a:r>
            <a:rPr lang="en-US" sz="1100" b="0"/>
            <a:t>problem for HighOptic</a:t>
          </a:r>
          <a:endParaRPr lang="en-US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90237</xdr:colOff>
      <xdr:row>32</xdr:row>
      <xdr:rowOff>70184</xdr:rowOff>
    </xdr:from>
    <xdr:ext cx="4643707" cy="12979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37" y="5123447"/>
          <a:ext cx="4643707" cy="1297919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Evaluating the Merged Network with All Plants open</a:t>
          </a:r>
        </a:p>
        <a:p>
          <a:r>
            <a:rPr lang="en-US" sz="1100"/>
            <a:t>In this worksheet we evaluate the performance of the merged network</a:t>
          </a:r>
        </a:p>
        <a:p>
          <a:r>
            <a:rPr lang="en-US" sz="1100"/>
            <a:t>if all plants are kept open. To do so solve the model using Solver.</a:t>
          </a:r>
        </a:p>
        <a:p>
          <a:endParaRPr lang="en-US" sz="1100"/>
        </a:p>
        <a:p>
          <a:r>
            <a:rPr lang="en-US" sz="1100"/>
            <a:t>The reduction</a:t>
          </a:r>
          <a:r>
            <a:rPr lang="en-US" sz="1100" baseline="0"/>
            <a:t> in total cost relative to the sum of the costs of the independent</a:t>
          </a:r>
        </a:p>
        <a:p>
          <a:r>
            <a:rPr lang="en-US" sz="1100" baseline="0"/>
            <a:t>networks (from the previous two worksheets) represents the synergies</a:t>
          </a:r>
        </a:p>
        <a:p>
          <a:r>
            <a:rPr lang="en-US" sz="1100" baseline="0"/>
            <a:t>obtained simply be reallocating demand in the merged network.</a:t>
          </a: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100263</xdr:colOff>
      <xdr:row>33</xdr:row>
      <xdr:rowOff>50132</xdr:rowOff>
    </xdr:from>
    <xdr:ext cx="5087355" cy="78124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0263" y="5277185"/>
          <a:ext cx="5087355" cy="781240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Building Figure</a:t>
          </a:r>
          <a:r>
            <a:rPr lang="en-US" sz="1100" b="1" baseline="0"/>
            <a:t> 5-12</a:t>
          </a:r>
          <a:endParaRPr lang="en-US" sz="1100" b="0" baseline="0"/>
        </a:p>
        <a:p>
          <a:r>
            <a:rPr lang="en-US" sz="1100" b="0" baseline="0"/>
            <a:t>Using Data | Analysis | Solver, solve the model.</a:t>
          </a:r>
        </a:p>
        <a:p>
          <a:r>
            <a:rPr lang="en-US" sz="1100" b="0" baseline="0"/>
            <a:t>Observe that the plants in Wichita and Salt lake are shut to further lower cost relative</a:t>
          </a:r>
        </a:p>
        <a:p>
          <a:r>
            <a:rPr lang="en-US" sz="1100" b="0" baseline="0"/>
            <a:t>to keeping all plants open.</a:t>
          </a:r>
          <a:endParaRPr lang="en-US" sz="1100" b="1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showGridLines="0" zoomScale="95" zoomScaleNormal="95" workbookViewId="0">
      <selection activeCell="G7" sqref="G7"/>
    </sheetView>
  </sheetViews>
  <sheetFormatPr baseColWidth="10" defaultColWidth="8.83203125" defaultRowHeight="13" x14ac:dyDescent="0.15"/>
  <cols>
    <col min="1" max="1" width="14.6640625" customWidth="1"/>
    <col min="2" max="2" width="11.83203125" bestFit="1" customWidth="1"/>
    <col min="3" max="3" width="8.5" bestFit="1" customWidth="1"/>
    <col min="4" max="4" width="9.5" bestFit="1" customWidth="1"/>
    <col min="5" max="5" width="8.83203125" bestFit="1" customWidth="1"/>
    <col min="6" max="6" width="8.5" bestFit="1" customWidth="1"/>
    <col min="7" max="7" width="12.5" bestFit="1" customWidth="1"/>
    <col min="8" max="8" width="8.6640625" customWidth="1"/>
    <col min="9" max="9" width="6.5" bestFit="1" customWidth="1"/>
  </cols>
  <sheetData>
    <row r="1" spans="1:9" ht="14" thickBot="1" x14ac:dyDescent="0.2">
      <c r="A1" s="1" t="s">
        <v>0</v>
      </c>
    </row>
    <row r="2" spans="1:9" ht="27" customHeight="1" x14ac:dyDescent="0.15">
      <c r="A2" s="18"/>
      <c r="B2" s="117" t="s">
        <v>1</v>
      </c>
      <c r="C2" s="118"/>
      <c r="D2" s="118"/>
      <c r="E2" s="118"/>
      <c r="F2" s="118"/>
      <c r="G2" s="119"/>
      <c r="H2" s="37" t="s">
        <v>2</v>
      </c>
      <c r="I2" s="38" t="s">
        <v>3</v>
      </c>
    </row>
    <row r="3" spans="1:9" x14ac:dyDescent="0.15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15">
      <c r="A4" s="11" t="s">
        <v>13</v>
      </c>
      <c r="B4" s="33">
        <v>1675</v>
      </c>
      <c r="C4" s="34">
        <v>400</v>
      </c>
      <c r="D4" s="34">
        <v>685</v>
      </c>
      <c r="E4" s="34">
        <v>1630</v>
      </c>
      <c r="F4" s="34">
        <v>1160</v>
      </c>
      <c r="G4" s="34">
        <v>2800</v>
      </c>
      <c r="H4" s="39">
        <v>7650</v>
      </c>
      <c r="I4" s="13">
        <v>18</v>
      </c>
    </row>
    <row r="5" spans="1:9" x14ac:dyDescent="0.15">
      <c r="A5" s="3" t="s">
        <v>14</v>
      </c>
      <c r="B5" s="35">
        <v>1460</v>
      </c>
      <c r="C5" s="36">
        <v>1940</v>
      </c>
      <c r="D5" s="36">
        <v>970</v>
      </c>
      <c r="E5" s="36">
        <v>100</v>
      </c>
      <c r="F5" s="36">
        <v>495</v>
      </c>
      <c r="G5" s="36">
        <v>1200</v>
      </c>
      <c r="H5" s="40">
        <v>3500</v>
      </c>
      <c r="I5" s="4">
        <v>24</v>
      </c>
    </row>
    <row r="6" spans="1:9" x14ac:dyDescent="0.15">
      <c r="A6" s="3" t="s">
        <v>15</v>
      </c>
      <c r="B6" s="35">
        <v>1925</v>
      </c>
      <c r="C6" s="36">
        <v>2400</v>
      </c>
      <c r="D6" s="36">
        <v>1425</v>
      </c>
      <c r="E6" s="36">
        <v>500</v>
      </c>
      <c r="F6" s="36">
        <v>950</v>
      </c>
      <c r="G6" s="36">
        <v>800</v>
      </c>
      <c r="H6" s="40">
        <v>5000</v>
      </c>
      <c r="I6" s="4">
        <v>27</v>
      </c>
    </row>
    <row r="7" spans="1:9" x14ac:dyDescent="0.15">
      <c r="A7" s="3" t="s">
        <v>16</v>
      </c>
      <c r="B7" s="35">
        <v>380</v>
      </c>
      <c r="C7" s="36">
        <v>1355</v>
      </c>
      <c r="D7" s="36">
        <v>543</v>
      </c>
      <c r="E7" s="36">
        <v>1045</v>
      </c>
      <c r="F7" s="36">
        <v>665</v>
      </c>
      <c r="G7" s="36">
        <v>2321</v>
      </c>
      <c r="H7" s="40">
        <v>4100</v>
      </c>
      <c r="I7" s="4">
        <v>22</v>
      </c>
    </row>
    <row r="8" spans="1:9" x14ac:dyDescent="0.15">
      <c r="A8" s="3" t="s">
        <v>17</v>
      </c>
      <c r="B8" s="35">
        <v>922</v>
      </c>
      <c r="C8" s="36">
        <v>1646</v>
      </c>
      <c r="D8" s="36">
        <v>700</v>
      </c>
      <c r="E8" s="36">
        <v>508</v>
      </c>
      <c r="F8" s="36">
        <v>311</v>
      </c>
      <c r="G8" s="36">
        <v>1797</v>
      </c>
      <c r="H8" s="40">
        <v>2200</v>
      </c>
      <c r="I8" s="4">
        <v>31</v>
      </c>
    </row>
    <row r="9" spans="1:9" ht="14" thickBot="1" x14ac:dyDescent="0.2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15">
      <c r="A10" s="2"/>
    </row>
    <row r="11" spans="1:9" ht="14" thickBot="1" x14ac:dyDescent="0.2">
      <c r="A11" s="1" t="s">
        <v>19</v>
      </c>
    </row>
    <row r="12" spans="1:9" ht="14" x14ac:dyDescent="0.15">
      <c r="A12" s="18"/>
      <c r="B12" s="117" t="s">
        <v>20</v>
      </c>
      <c r="C12" s="118"/>
      <c r="D12" s="118"/>
      <c r="E12" s="118"/>
      <c r="F12" s="118"/>
      <c r="G12" s="119"/>
      <c r="H12" s="21" t="s">
        <v>21</v>
      </c>
    </row>
    <row r="13" spans="1:9" x14ac:dyDescent="0.1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15">
      <c r="A14" s="11" t="s">
        <v>13</v>
      </c>
      <c r="B14" s="99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23"/>
    </row>
    <row r="15" spans="1:9" x14ac:dyDescent="0.15">
      <c r="A15" s="3" t="s">
        <v>14</v>
      </c>
      <c r="B15" s="73">
        <v>0</v>
      </c>
      <c r="C15" s="101">
        <v>0</v>
      </c>
      <c r="D15" s="101">
        <v>0</v>
      </c>
      <c r="E15" s="102">
        <v>6</v>
      </c>
      <c r="F15" s="103">
        <v>7</v>
      </c>
      <c r="G15" s="104">
        <v>0</v>
      </c>
      <c r="H15" s="24">
        <v>1</v>
      </c>
    </row>
    <row r="16" spans="1:9" x14ac:dyDescent="0.15">
      <c r="A16" s="3" t="s">
        <v>15</v>
      </c>
      <c r="B16" s="73">
        <v>0</v>
      </c>
      <c r="C16" s="101">
        <v>0</v>
      </c>
      <c r="D16" s="101">
        <v>0</v>
      </c>
      <c r="E16" s="105">
        <v>0</v>
      </c>
      <c r="F16" s="106">
        <v>0</v>
      </c>
      <c r="G16" s="107">
        <v>11</v>
      </c>
      <c r="H16" s="24">
        <v>1</v>
      </c>
    </row>
    <row r="17" spans="1:8" x14ac:dyDescent="0.15">
      <c r="A17" s="3" t="s">
        <v>16</v>
      </c>
      <c r="B17" s="73">
        <v>0</v>
      </c>
      <c r="C17" s="101">
        <v>0</v>
      </c>
      <c r="D17" s="101">
        <v>0</v>
      </c>
      <c r="E17" s="101">
        <v>0</v>
      </c>
      <c r="F17" s="101">
        <v>0</v>
      </c>
      <c r="G17" s="101">
        <v>0</v>
      </c>
      <c r="H17" s="24"/>
    </row>
    <row r="18" spans="1:8" ht="14" thickBot="1" x14ac:dyDescent="0.2">
      <c r="A18" s="5" t="s">
        <v>17</v>
      </c>
      <c r="B18" s="74">
        <v>0</v>
      </c>
      <c r="C18" s="75">
        <v>0</v>
      </c>
      <c r="D18" s="75">
        <v>0</v>
      </c>
      <c r="E18" s="75">
        <v>0</v>
      </c>
      <c r="F18" s="75">
        <v>0</v>
      </c>
      <c r="G18" s="75">
        <v>0</v>
      </c>
      <c r="H18" s="25"/>
    </row>
    <row r="19" spans="1:8" ht="6" customHeight="1" x14ac:dyDescent="0.15"/>
    <row r="20" spans="1:8" ht="14" thickBot="1" x14ac:dyDescent="0.2">
      <c r="A20" s="1" t="s">
        <v>23</v>
      </c>
      <c r="E20" s="109"/>
      <c r="F20" s="109"/>
      <c r="G20" s="109"/>
    </row>
    <row r="21" spans="1:8" x14ac:dyDescent="0.1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15">
      <c r="A22" s="3" t="s">
        <v>13</v>
      </c>
      <c r="B22" s="10">
        <f>I4-SUM(B14:G14)</f>
        <v>18</v>
      </c>
      <c r="G22" s="4"/>
    </row>
    <row r="23" spans="1:8" x14ac:dyDescent="0.15">
      <c r="A23" s="3" t="s">
        <v>14</v>
      </c>
      <c r="B23" s="10">
        <f>I5-SUM(B15:G15)</f>
        <v>11</v>
      </c>
      <c r="G23" s="4"/>
    </row>
    <row r="24" spans="1:8" x14ac:dyDescent="0.15">
      <c r="A24" s="3" t="s">
        <v>15</v>
      </c>
      <c r="B24" s="10">
        <f>I6-SUM(B16:G16)</f>
        <v>16</v>
      </c>
      <c r="G24" s="4"/>
    </row>
    <row r="25" spans="1:8" x14ac:dyDescent="0.15">
      <c r="A25" s="3" t="s">
        <v>16</v>
      </c>
      <c r="B25" s="10">
        <f>I7-SUM(B17:G17)</f>
        <v>22</v>
      </c>
      <c r="G25" s="4"/>
    </row>
    <row r="26" spans="1:8" x14ac:dyDescent="0.15">
      <c r="A26" s="3" t="s">
        <v>17</v>
      </c>
      <c r="B26" s="10">
        <f>I8-SUM(B18:G18)</f>
        <v>31</v>
      </c>
      <c r="G26" s="4"/>
    </row>
    <row r="27" spans="1:8" ht="1.5" customHeight="1" x14ac:dyDescent="0.15">
      <c r="A27" s="3"/>
      <c r="B27" s="10"/>
      <c r="G27" s="4"/>
    </row>
    <row r="28" spans="1:8" x14ac:dyDescent="0.1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4" thickBot="1" x14ac:dyDescent="0.2">
      <c r="A29" s="43" t="s">
        <v>25</v>
      </c>
      <c r="B29" s="17">
        <f t="shared" ref="B29:G29" si="0">B9-SUM(B14:B18)</f>
        <v>10</v>
      </c>
      <c r="C29" s="6">
        <f t="shared" si="0"/>
        <v>8</v>
      </c>
      <c r="D29" s="6">
        <f t="shared" si="0"/>
        <v>14</v>
      </c>
      <c r="E29" s="6">
        <f t="shared" si="0"/>
        <v>0</v>
      </c>
      <c r="F29" s="6">
        <f t="shared" si="0"/>
        <v>0</v>
      </c>
      <c r="G29" s="7">
        <f t="shared" si="0"/>
        <v>0</v>
      </c>
    </row>
    <row r="30" spans="1:8" ht="3" customHeight="1" x14ac:dyDescent="0.15"/>
    <row r="31" spans="1:8" ht="14" thickBot="1" x14ac:dyDescent="0.2">
      <c r="A31" s="1" t="s">
        <v>26</v>
      </c>
    </row>
    <row r="32" spans="1:8" ht="14" thickBot="1" x14ac:dyDescent="0.2">
      <c r="A32" s="41" t="s">
        <v>27</v>
      </c>
      <c r="B32" s="42">
        <f>SUMPRODUCT(E15:G16,E5:G6)+SUMPRODUCT(I5:I6,H15:H16)+SUMPRODUCT(H15:H16,H5:H6)</f>
        <v>21416</v>
      </c>
      <c r="D32" s="109"/>
      <c r="G32" s="110"/>
    </row>
    <row r="33" spans="1:7" x14ac:dyDescent="0.15">
      <c r="A33" s="109"/>
      <c r="G33" s="108"/>
    </row>
    <row r="38" spans="1:7" x14ac:dyDescent="0.15">
      <c r="A38" s="1"/>
    </row>
    <row r="39" spans="1:7" x14ac:dyDescent="0.15">
      <c r="A39" s="94"/>
    </row>
    <row r="40" spans="1:7" ht="14" x14ac:dyDescent="0.15">
      <c r="A40" s="98"/>
      <c r="B40" s="97"/>
    </row>
    <row r="41" spans="1:7" ht="14" x14ac:dyDescent="0.15">
      <c r="A41" s="98"/>
      <c r="B41" s="97"/>
    </row>
    <row r="42" spans="1:7" ht="14" x14ac:dyDescent="0.15">
      <c r="A42" s="98"/>
      <c r="B42" s="97"/>
    </row>
    <row r="43" spans="1:7" ht="14" x14ac:dyDescent="0.15">
      <c r="A43" s="98"/>
      <c r="B43" s="97"/>
    </row>
    <row r="44" spans="1:7" ht="14" x14ac:dyDescent="0.15">
      <c r="A44" s="98"/>
      <c r="B44" s="97"/>
    </row>
    <row r="45" spans="1:7" ht="14" x14ac:dyDescent="0.15">
      <c r="A45" s="98"/>
      <c r="B45" s="97"/>
    </row>
    <row r="46" spans="1:7" ht="12.75" customHeight="1" x14ac:dyDescent="0.15">
      <c r="A46" s="98"/>
      <c r="B46" s="97"/>
    </row>
    <row r="48" spans="1:7" x14ac:dyDescent="0.15">
      <c r="A48" s="94"/>
    </row>
    <row r="49" spans="1:2" ht="14" x14ac:dyDescent="0.15">
      <c r="A49" s="98"/>
      <c r="B49" s="97"/>
    </row>
    <row r="50" spans="1:2" ht="14" x14ac:dyDescent="0.15">
      <c r="A50" s="98"/>
      <c r="B50" s="97"/>
    </row>
    <row r="52" spans="1:2" x14ac:dyDescent="0.15">
      <c r="A52" s="94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I55"/>
  <sheetViews>
    <sheetView showGridLines="0" zoomScale="95" zoomScaleNormal="95" workbookViewId="0">
      <selection activeCell="J9" sqref="J9"/>
    </sheetView>
  </sheetViews>
  <sheetFormatPr baseColWidth="10" defaultColWidth="8.83203125" defaultRowHeight="13" x14ac:dyDescent="0.15"/>
  <cols>
    <col min="1" max="1" width="14.6640625" customWidth="1"/>
    <col min="2" max="2" width="11.83203125" bestFit="1" customWidth="1"/>
    <col min="3" max="4" width="8.5" bestFit="1" customWidth="1"/>
    <col min="5" max="5" width="9.5" bestFit="1" customWidth="1"/>
    <col min="6" max="6" width="8.5" bestFit="1" customWidth="1"/>
    <col min="7" max="7" width="13" bestFit="1" customWidth="1"/>
    <col min="8" max="8" width="8.6640625" bestFit="1" customWidth="1"/>
    <col min="9" max="9" width="6.5" bestFit="1" customWidth="1"/>
  </cols>
  <sheetData>
    <row r="1" spans="1:9" ht="14" thickBot="1" x14ac:dyDescent="0.2">
      <c r="A1" s="1" t="s">
        <v>28</v>
      </c>
    </row>
    <row r="2" spans="1:9" ht="27" customHeight="1" x14ac:dyDescent="0.15">
      <c r="A2" s="18"/>
      <c r="B2" s="117" t="s">
        <v>1</v>
      </c>
      <c r="C2" s="118"/>
      <c r="D2" s="118"/>
      <c r="E2" s="118"/>
      <c r="F2" s="118"/>
      <c r="G2" s="119"/>
      <c r="H2" s="37" t="s">
        <v>2</v>
      </c>
      <c r="I2" s="38" t="s">
        <v>3</v>
      </c>
    </row>
    <row r="3" spans="1:9" x14ac:dyDescent="0.15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15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15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15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15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15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4" thickBot="1" x14ac:dyDescent="0.2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15">
      <c r="A10" s="2"/>
    </row>
    <row r="11" spans="1:9" ht="14" thickBot="1" x14ac:dyDescent="0.2">
      <c r="A11" s="1" t="s">
        <v>19</v>
      </c>
    </row>
    <row r="12" spans="1:9" ht="14" x14ac:dyDescent="0.15">
      <c r="A12" s="18"/>
      <c r="B12" s="117" t="s">
        <v>20</v>
      </c>
      <c r="C12" s="118"/>
      <c r="D12" s="118"/>
      <c r="E12" s="118"/>
      <c r="F12" s="118"/>
      <c r="G12" s="119"/>
      <c r="H12" s="21" t="s">
        <v>21</v>
      </c>
    </row>
    <row r="13" spans="1:9" x14ac:dyDescent="0.1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15">
      <c r="A14" s="11" t="s">
        <v>13</v>
      </c>
      <c r="B14" s="55">
        <v>0</v>
      </c>
      <c r="C14" s="56">
        <v>8</v>
      </c>
      <c r="D14" s="57">
        <v>2</v>
      </c>
      <c r="E14" s="12">
        <v>0</v>
      </c>
      <c r="F14" s="12">
        <v>0</v>
      </c>
      <c r="G14" s="12">
        <v>0</v>
      </c>
      <c r="H14" s="23">
        <v>1</v>
      </c>
    </row>
    <row r="15" spans="1:9" x14ac:dyDescent="0.15">
      <c r="A15" s="3" t="s">
        <v>14</v>
      </c>
      <c r="B15" s="10">
        <v>0</v>
      </c>
      <c r="C15">
        <v>0</v>
      </c>
      <c r="D15">
        <v>0</v>
      </c>
      <c r="E15">
        <v>0</v>
      </c>
      <c r="F15">
        <v>0</v>
      </c>
      <c r="G15" s="51">
        <v>0</v>
      </c>
      <c r="H15" s="24">
        <v>0</v>
      </c>
    </row>
    <row r="16" spans="1:9" x14ac:dyDescent="0.15">
      <c r="A16" s="3" t="s">
        <v>15</v>
      </c>
      <c r="B16" s="10">
        <v>0</v>
      </c>
      <c r="C16">
        <v>0</v>
      </c>
      <c r="D16">
        <v>0</v>
      </c>
      <c r="E16">
        <v>0</v>
      </c>
      <c r="F16">
        <v>0</v>
      </c>
      <c r="G16" s="51">
        <v>0</v>
      </c>
      <c r="H16" s="24">
        <v>0</v>
      </c>
    </row>
    <row r="17" spans="1:8" x14ac:dyDescent="0.15">
      <c r="A17" s="3" t="s">
        <v>16</v>
      </c>
      <c r="B17" s="30">
        <v>10</v>
      </c>
      <c r="C17" s="31">
        <v>0</v>
      </c>
      <c r="D17" s="32">
        <v>12</v>
      </c>
      <c r="E17">
        <v>0</v>
      </c>
      <c r="F17">
        <v>0</v>
      </c>
      <c r="G17">
        <v>0</v>
      </c>
      <c r="H17" s="24">
        <v>1</v>
      </c>
    </row>
    <row r="18" spans="1:8" ht="14" thickBot="1" x14ac:dyDescent="0.2">
      <c r="A18" s="5" t="s">
        <v>17</v>
      </c>
      <c r="B18" s="52">
        <v>0</v>
      </c>
      <c r="C18" s="53">
        <v>0</v>
      </c>
      <c r="D18" s="54">
        <v>0</v>
      </c>
      <c r="E18" s="6">
        <v>0</v>
      </c>
      <c r="F18" s="6">
        <v>0</v>
      </c>
      <c r="G18" s="6">
        <v>0</v>
      </c>
      <c r="H18" s="25">
        <v>1</v>
      </c>
    </row>
    <row r="19" spans="1:8" ht="6" customHeight="1" x14ac:dyDescent="0.15"/>
    <row r="20" spans="1:8" ht="14" thickBot="1" x14ac:dyDescent="0.2">
      <c r="A20" s="1" t="s">
        <v>23</v>
      </c>
      <c r="E20" s="109"/>
      <c r="F20" s="109"/>
      <c r="G20" s="109"/>
    </row>
    <row r="21" spans="1:8" x14ac:dyDescent="0.1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15">
      <c r="A22" s="3" t="s">
        <v>13</v>
      </c>
      <c r="B22" s="10">
        <f>I4-SUM(B14:G14)</f>
        <v>8</v>
      </c>
      <c r="G22" s="4"/>
    </row>
    <row r="23" spans="1:8" x14ac:dyDescent="0.15">
      <c r="A23" s="3" t="s">
        <v>14</v>
      </c>
      <c r="B23" s="10">
        <f>I5-SUM(B15:G15)</f>
        <v>24</v>
      </c>
      <c r="G23" s="4"/>
    </row>
    <row r="24" spans="1:8" x14ac:dyDescent="0.15">
      <c r="A24" s="3" t="s">
        <v>15</v>
      </c>
      <c r="B24" s="10">
        <f>I6-SUM(B16:G16)</f>
        <v>27</v>
      </c>
      <c r="G24" s="4"/>
    </row>
    <row r="25" spans="1:8" x14ac:dyDescent="0.15">
      <c r="A25" s="3" t="s">
        <v>16</v>
      </c>
      <c r="B25" s="10">
        <f>I7-SUM(B17:G17)</f>
        <v>0</v>
      </c>
      <c r="G25" s="4"/>
    </row>
    <row r="26" spans="1:8" x14ac:dyDescent="0.15">
      <c r="A26" s="3" t="s">
        <v>17</v>
      </c>
      <c r="B26" s="10">
        <f>I8-SUM(B18:G18)</f>
        <v>31</v>
      </c>
      <c r="G26" s="4"/>
    </row>
    <row r="27" spans="1:8" ht="5.25" customHeight="1" x14ac:dyDescent="0.15">
      <c r="A27" s="3"/>
      <c r="B27" s="10"/>
      <c r="G27" s="4"/>
    </row>
    <row r="28" spans="1:8" x14ac:dyDescent="0.1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4" thickBot="1" x14ac:dyDescent="0.2">
      <c r="A29" s="43" t="s">
        <v>25</v>
      </c>
      <c r="B29" s="17">
        <f t="shared" ref="B29:G29" si="0">B9-SUM(B14:B18)</f>
        <v>0</v>
      </c>
      <c r="C29" s="6">
        <f t="shared" si="0"/>
        <v>0</v>
      </c>
      <c r="D29" s="6">
        <f t="shared" si="0"/>
        <v>0</v>
      </c>
      <c r="E29" s="6">
        <f t="shared" si="0"/>
        <v>6</v>
      </c>
      <c r="F29" s="6">
        <f t="shared" si="0"/>
        <v>7</v>
      </c>
      <c r="G29" s="7">
        <f t="shared" si="0"/>
        <v>11</v>
      </c>
    </row>
    <row r="30" spans="1:8" ht="6" customHeight="1" x14ac:dyDescent="0.15"/>
    <row r="31" spans="1:8" ht="14" thickBot="1" x14ac:dyDescent="0.2">
      <c r="A31" s="1" t="s">
        <v>26</v>
      </c>
    </row>
    <row r="32" spans="1:8" ht="14" thickBot="1" x14ac:dyDescent="0.2">
      <c r="A32" s="41" t="s">
        <v>27</v>
      </c>
      <c r="B32" s="50">
        <f>SUMPRODUCT(B14:D14,B4:D4)+SUMPRODUCT(B7:D8,B17:D18)+H14*H4+SUMPRODUCT(H7:H8,H17:H18)</f>
        <v>28836</v>
      </c>
      <c r="D32" s="109"/>
      <c r="G32" s="110"/>
    </row>
    <row r="33" spans="1:7" x14ac:dyDescent="0.15">
      <c r="A33" s="109"/>
      <c r="G33" s="108"/>
    </row>
    <row r="38" spans="1:7" x14ac:dyDescent="0.15">
      <c r="A38" s="1"/>
    </row>
    <row r="39" spans="1:7" x14ac:dyDescent="0.15">
      <c r="A39" s="94"/>
    </row>
    <row r="40" spans="1:7" ht="14" x14ac:dyDescent="0.15">
      <c r="A40" s="98"/>
      <c r="B40" s="97"/>
    </row>
    <row r="41" spans="1:7" ht="14" x14ac:dyDescent="0.15">
      <c r="A41" s="98"/>
      <c r="B41" s="97"/>
    </row>
    <row r="42" spans="1:7" ht="14" x14ac:dyDescent="0.15">
      <c r="A42" s="98"/>
      <c r="B42" s="97"/>
    </row>
    <row r="43" spans="1:7" ht="14" x14ac:dyDescent="0.15">
      <c r="A43" s="98"/>
      <c r="B43" s="97"/>
    </row>
    <row r="44" spans="1:7" ht="14" x14ac:dyDescent="0.15">
      <c r="A44" s="98"/>
      <c r="B44" s="97"/>
    </row>
    <row r="45" spans="1:7" ht="14" x14ac:dyDescent="0.15">
      <c r="A45" s="98"/>
      <c r="B45" s="97"/>
    </row>
    <row r="46" spans="1:7" ht="12.75" customHeight="1" x14ac:dyDescent="0.15">
      <c r="A46" s="98"/>
      <c r="B46" s="97"/>
    </row>
    <row r="48" spans="1:7" x14ac:dyDescent="0.15">
      <c r="A48" s="94"/>
    </row>
    <row r="49" spans="1:5" ht="14" x14ac:dyDescent="0.15">
      <c r="A49" s="98"/>
      <c r="B49" s="97"/>
    </row>
    <row r="50" spans="1:5" ht="14" x14ac:dyDescent="0.15">
      <c r="A50" s="98"/>
      <c r="B50" s="97"/>
    </row>
    <row r="52" spans="1:5" x14ac:dyDescent="0.15">
      <c r="A52" s="94"/>
    </row>
    <row r="53" spans="1:5" ht="15" x14ac:dyDescent="0.2">
      <c r="E53" s="113"/>
    </row>
    <row r="54" spans="1:5" ht="15" x14ac:dyDescent="0.2">
      <c r="E54" s="114"/>
    </row>
    <row r="55" spans="1:5" ht="15" x14ac:dyDescent="0.2">
      <c r="E55" s="114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52"/>
  <sheetViews>
    <sheetView showGridLines="0" zoomScale="95" zoomScaleNormal="95" workbookViewId="0">
      <selection activeCell="B33" sqref="B33"/>
    </sheetView>
  </sheetViews>
  <sheetFormatPr baseColWidth="10" defaultColWidth="8.83203125" defaultRowHeight="13" x14ac:dyDescent="0.15"/>
  <cols>
    <col min="1" max="1" width="14.6640625" customWidth="1"/>
    <col min="2" max="2" width="11.5" bestFit="1" customWidth="1"/>
    <col min="3" max="5" width="8.33203125" bestFit="1" customWidth="1"/>
    <col min="6" max="6" width="11.5" customWidth="1"/>
    <col min="8" max="8" width="8.6640625" bestFit="1" customWidth="1"/>
    <col min="9" max="9" width="6.5" bestFit="1" customWidth="1"/>
  </cols>
  <sheetData>
    <row r="1" spans="1:9" ht="14" thickBot="1" x14ac:dyDescent="0.2">
      <c r="A1" s="1" t="s">
        <v>29</v>
      </c>
    </row>
    <row r="2" spans="1:9" ht="27" customHeight="1" x14ac:dyDescent="0.15">
      <c r="A2" s="18"/>
      <c r="B2" s="117" t="s">
        <v>1</v>
      </c>
      <c r="C2" s="118"/>
      <c r="D2" s="118"/>
      <c r="E2" s="118"/>
      <c r="F2" s="118"/>
      <c r="G2" s="119"/>
      <c r="H2" s="37" t="s">
        <v>2</v>
      </c>
      <c r="I2" s="38" t="s">
        <v>3</v>
      </c>
    </row>
    <row r="3" spans="1:9" x14ac:dyDescent="0.15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15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15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15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15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15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4" thickBot="1" x14ac:dyDescent="0.2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15">
      <c r="A10" s="2"/>
    </row>
    <row r="11" spans="1:9" ht="14" thickBot="1" x14ac:dyDescent="0.2">
      <c r="A11" s="1" t="s">
        <v>19</v>
      </c>
    </row>
    <row r="12" spans="1:9" ht="12.75" customHeight="1" x14ac:dyDescent="0.15">
      <c r="A12" s="18"/>
      <c r="B12" s="117" t="s">
        <v>20</v>
      </c>
      <c r="C12" s="120"/>
      <c r="D12" s="120"/>
      <c r="E12" s="120"/>
      <c r="F12" s="120"/>
      <c r="G12" s="121"/>
      <c r="H12" s="61" t="s">
        <v>21</v>
      </c>
    </row>
    <row r="13" spans="1:9" x14ac:dyDescent="0.1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15">
      <c r="A14" s="11" t="s">
        <v>13</v>
      </c>
      <c r="B14" s="62">
        <v>0</v>
      </c>
      <c r="C14" s="63">
        <v>8.0000000003028635</v>
      </c>
      <c r="D14" s="63">
        <v>2.0000000000046612</v>
      </c>
      <c r="E14" s="64">
        <v>0</v>
      </c>
      <c r="F14" s="64">
        <v>0</v>
      </c>
      <c r="G14" s="64">
        <v>0</v>
      </c>
      <c r="H14" s="58">
        <v>1</v>
      </c>
    </row>
    <row r="15" spans="1:9" x14ac:dyDescent="0.15">
      <c r="A15" s="3" t="s">
        <v>14</v>
      </c>
      <c r="B15" s="65">
        <v>0</v>
      </c>
      <c r="C15" s="66">
        <v>0</v>
      </c>
      <c r="D15" s="66">
        <v>0</v>
      </c>
      <c r="E15" s="66">
        <v>6.0000000002271481</v>
      </c>
      <c r="F15" s="66">
        <v>0</v>
      </c>
      <c r="G15" s="67">
        <v>0</v>
      </c>
      <c r="H15" s="59">
        <v>1</v>
      </c>
    </row>
    <row r="16" spans="1:9" x14ac:dyDescent="0.15">
      <c r="A16" s="3" t="s">
        <v>15</v>
      </c>
      <c r="B16" s="68">
        <v>0</v>
      </c>
      <c r="C16" s="69">
        <v>0</v>
      </c>
      <c r="D16" s="69">
        <v>0</v>
      </c>
      <c r="E16" s="66">
        <v>0</v>
      </c>
      <c r="F16" s="66">
        <v>0</v>
      </c>
      <c r="G16" s="67">
        <v>11.000000000025636</v>
      </c>
      <c r="H16" s="59">
        <v>1</v>
      </c>
    </row>
    <row r="17" spans="1:8" x14ac:dyDescent="0.15">
      <c r="A17" s="3" t="s">
        <v>16</v>
      </c>
      <c r="B17" s="65">
        <v>10.000000000023306</v>
      </c>
      <c r="C17" s="66">
        <v>0</v>
      </c>
      <c r="D17" s="66">
        <v>12.000000000027967</v>
      </c>
      <c r="E17" s="69">
        <v>0</v>
      </c>
      <c r="F17" s="69">
        <v>0</v>
      </c>
      <c r="G17" s="69">
        <v>0</v>
      </c>
      <c r="H17" s="59">
        <v>1</v>
      </c>
    </row>
    <row r="18" spans="1:8" ht="14" thickBot="1" x14ac:dyDescent="0.2">
      <c r="A18" s="5" t="s">
        <v>17</v>
      </c>
      <c r="B18" s="70">
        <v>0</v>
      </c>
      <c r="C18" s="71">
        <v>0</v>
      </c>
      <c r="D18" s="71">
        <v>0</v>
      </c>
      <c r="E18" s="72">
        <v>0</v>
      </c>
      <c r="F18" s="72">
        <v>7.0000000002650058</v>
      </c>
      <c r="G18" s="72">
        <v>0</v>
      </c>
      <c r="H18" s="60">
        <v>1</v>
      </c>
    </row>
    <row r="19" spans="1:8" ht="6" customHeight="1" x14ac:dyDescent="0.15"/>
    <row r="20" spans="1:8" ht="14" thickBot="1" x14ac:dyDescent="0.2">
      <c r="A20" s="1" t="s">
        <v>23</v>
      </c>
    </row>
    <row r="21" spans="1:8" x14ac:dyDescent="0.1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15">
      <c r="A22" s="3" t="s">
        <v>13</v>
      </c>
      <c r="B22" s="73">
        <f>I4*H14-SUM(B14:G14)</f>
        <v>7.9999999996924753</v>
      </c>
      <c r="D22" s="96" t="s">
        <v>30</v>
      </c>
      <c r="E22" s="94"/>
      <c r="F22" s="94"/>
      <c r="G22" s="95">
        <f>SUMPRODUCT(I4:I8,H14:H18)</f>
        <v>122</v>
      </c>
    </row>
    <row r="23" spans="1:8" x14ac:dyDescent="0.15">
      <c r="A23" s="3" t="s">
        <v>14</v>
      </c>
      <c r="B23" s="73">
        <f>I5*H15-SUM(B15:G15)</f>
        <v>17.999999999772854</v>
      </c>
      <c r="G23" s="4"/>
    </row>
    <row r="24" spans="1:8" x14ac:dyDescent="0.15">
      <c r="A24" s="3" t="s">
        <v>15</v>
      </c>
      <c r="B24" s="73">
        <f>I6*H16-SUM(B16:G16)</f>
        <v>15.999999999974364</v>
      </c>
      <c r="G24" s="4"/>
    </row>
    <row r="25" spans="1:8" x14ac:dyDescent="0.15">
      <c r="A25" s="3" t="s">
        <v>16</v>
      </c>
      <c r="B25" s="73">
        <f>I7*H17-SUM(B17:G17)</f>
        <v>-5.1272763812448829E-11</v>
      </c>
      <c r="G25" s="4"/>
    </row>
    <row r="26" spans="1:8" x14ac:dyDescent="0.15">
      <c r="A26" s="3" t="s">
        <v>17</v>
      </c>
      <c r="B26" s="73">
        <f>I8*H18-SUM(B18:G18)</f>
        <v>23.999999999734996</v>
      </c>
      <c r="G26" s="4"/>
    </row>
    <row r="27" spans="1:8" ht="5.25" customHeight="1" x14ac:dyDescent="0.15">
      <c r="A27" s="3"/>
      <c r="B27" s="10"/>
      <c r="G27" s="4"/>
    </row>
    <row r="28" spans="1:8" x14ac:dyDescent="0.1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4" thickBot="1" x14ac:dyDescent="0.2">
      <c r="A29" s="43" t="s">
        <v>25</v>
      </c>
      <c r="B29" s="74">
        <f>B9-SUM(B14:B18)</f>
        <v>-2.3305801732931286E-11</v>
      </c>
      <c r="C29" s="75">
        <f t="shared" ref="C29:G29" si="0">C9-SUM(C14:C18)</f>
        <v>-3.028635120472245E-10</v>
      </c>
      <c r="D29" s="75">
        <f t="shared" si="0"/>
        <v>-3.2628122426103801E-11</v>
      </c>
      <c r="E29" s="75">
        <f t="shared" si="0"/>
        <v>-2.2714807812462823E-10</v>
      </c>
      <c r="F29" s="75">
        <f t="shared" si="0"/>
        <v>-2.6500579508592637E-10</v>
      </c>
      <c r="G29" s="76">
        <f t="shared" si="0"/>
        <v>-2.5636381906224415E-11</v>
      </c>
    </row>
    <row r="30" spans="1:8" ht="6" customHeight="1" x14ac:dyDescent="0.15"/>
    <row r="31" spans="1:8" ht="14" thickBot="1" x14ac:dyDescent="0.2">
      <c r="A31" s="1" t="s">
        <v>26</v>
      </c>
    </row>
    <row r="32" spans="1:8" ht="14" thickBot="1" x14ac:dyDescent="0.2">
      <c r="A32" s="41" t="s">
        <v>27</v>
      </c>
      <c r="B32" s="50">
        <f>SUMPRODUCT(B14:G18,B4:G8)+SUMPRODUCT(H14:H18,H4:H8)</f>
        <v>48913.00000027402</v>
      </c>
      <c r="D32" s="109"/>
      <c r="F32" s="112"/>
      <c r="G32" s="110"/>
    </row>
    <row r="33" spans="1:8" x14ac:dyDescent="0.15">
      <c r="A33" s="116"/>
      <c r="G33" s="108"/>
    </row>
    <row r="38" spans="1:8" x14ac:dyDescent="0.15">
      <c r="A38" s="1"/>
      <c r="B38" s="1"/>
      <c r="C38" s="1"/>
    </row>
    <row r="39" spans="1:8" x14ac:dyDescent="0.15">
      <c r="A39" s="94"/>
    </row>
    <row r="40" spans="1:8" ht="14" x14ac:dyDescent="0.15">
      <c r="A40" s="98"/>
      <c r="B40" s="97"/>
      <c r="C40" s="97"/>
      <c r="D40" s="97"/>
      <c r="E40" s="97"/>
    </row>
    <row r="41" spans="1:8" ht="14" x14ac:dyDescent="0.15">
      <c r="A41" s="98"/>
      <c r="B41" s="97"/>
      <c r="C41" s="97"/>
      <c r="D41" s="97"/>
      <c r="E41" s="97"/>
    </row>
    <row r="42" spans="1:8" ht="14" x14ac:dyDescent="0.15">
      <c r="A42" s="98"/>
      <c r="B42" s="97"/>
      <c r="C42" s="97"/>
      <c r="D42" s="97"/>
    </row>
    <row r="43" spans="1:8" ht="14" x14ac:dyDescent="0.15">
      <c r="A43" s="98"/>
      <c r="B43" s="97"/>
      <c r="C43" s="97"/>
      <c r="D43" s="97"/>
    </row>
    <row r="44" spans="1:8" ht="14" x14ac:dyDescent="0.15">
      <c r="A44" s="98"/>
      <c r="B44" s="97"/>
      <c r="C44" s="97"/>
      <c r="D44" s="97"/>
      <c r="E44" s="97"/>
      <c r="F44" s="97"/>
    </row>
    <row r="45" spans="1:8" ht="14" x14ac:dyDescent="0.15">
      <c r="A45" s="98"/>
      <c r="B45" s="97"/>
      <c r="C45" s="97"/>
      <c r="D45" s="97"/>
      <c r="E45" s="97"/>
      <c r="F45" s="97"/>
      <c r="G45" s="97"/>
      <c r="H45" s="97"/>
    </row>
    <row r="46" spans="1:8" ht="14" x14ac:dyDescent="0.15">
      <c r="A46" s="98"/>
      <c r="B46" s="97"/>
      <c r="C46" s="97"/>
      <c r="D46" s="97"/>
      <c r="E46" s="97"/>
      <c r="F46" s="97"/>
      <c r="G46" s="97"/>
    </row>
    <row r="48" spans="1:8" x14ac:dyDescent="0.15">
      <c r="A48" s="94"/>
      <c r="B48" s="94"/>
    </row>
    <row r="49" spans="1:6" ht="14" x14ac:dyDescent="0.15">
      <c r="A49" s="98"/>
      <c r="B49" s="97"/>
      <c r="C49" s="97"/>
      <c r="D49" s="97"/>
      <c r="E49" s="97"/>
    </row>
    <row r="50" spans="1:6" ht="14" x14ac:dyDescent="0.15">
      <c r="A50" s="98"/>
      <c r="B50" s="97"/>
      <c r="C50" s="97"/>
      <c r="D50" s="97"/>
      <c r="E50" s="97"/>
      <c r="F50" s="97"/>
    </row>
    <row r="52" spans="1:6" x14ac:dyDescent="0.15">
      <c r="A52" s="94"/>
    </row>
  </sheetData>
  <mergeCells count="2">
    <mergeCell ref="B2:G2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I50"/>
  <sheetViews>
    <sheetView showGridLines="0" zoomScale="95" zoomScaleNormal="95" workbookViewId="0">
      <selection activeCell="I36" sqref="I36"/>
    </sheetView>
  </sheetViews>
  <sheetFormatPr baseColWidth="10" defaultColWidth="8.83203125" defaultRowHeight="13" x14ac:dyDescent="0.15"/>
  <cols>
    <col min="1" max="1" width="14.6640625" customWidth="1"/>
    <col min="2" max="2" width="11.83203125" bestFit="1" customWidth="1"/>
    <col min="3" max="6" width="8.5" bestFit="1" customWidth="1"/>
    <col min="7" max="7" width="13" bestFit="1" customWidth="1"/>
    <col min="8" max="8" width="8.6640625" bestFit="1" customWidth="1"/>
    <col min="9" max="9" width="6.5" bestFit="1" customWidth="1"/>
  </cols>
  <sheetData>
    <row r="1" spans="1:9" ht="14" thickBot="1" x14ac:dyDescent="0.2">
      <c r="A1" s="1" t="s">
        <v>29</v>
      </c>
    </row>
    <row r="2" spans="1:9" ht="27" customHeight="1" x14ac:dyDescent="0.15">
      <c r="A2" s="18"/>
      <c r="B2" s="117" t="s">
        <v>1</v>
      </c>
      <c r="C2" s="118"/>
      <c r="D2" s="118"/>
      <c r="E2" s="118"/>
      <c r="F2" s="118"/>
      <c r="G2" s="119"/>
      <c r="H2" s="37" t="s">
        <v>2</v>
      </c>
      <c r="I2" s="38" t="s">
        <v>3</v>
      </c>
    </row>
    <row r="3" spans="1:9" x14ac:dyDescent="0.15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15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15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15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15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15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4" thickBot="1" x14ac:dyDescent="0.2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15">
      <c r="A10" s="2"/>
    </row>
    <row r="11" spans="1:9" ht="14" thickBot="1" x14ac:dyDescent="0.2">
      <c r="A11" s="1" t="s">
        <v>19</v>
      </c>
    </row>
    <row r="12" spans="1:9" ht="12.75" customHeight="1" x14ac:dyDescent="0.15">
      <c r="A12" s="18"/>
      <c r="B12" s="117" t="s">
        <v>20</v>
      </c>
      <c r="C12" s="120"/>
      <c r="D12" s="120"/>
      <c r="E12" s="120"/>
      <c r="F12" s="120"/>
      <c r="G12" s="121"/>
      <c r="H12" s="61" t="s">
        <v>21</v>
      </c>
    </row>
    <row r="13" spans="1:9" x14ac:dyDescent="0.1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15">
      <c r="A14" s="11" t="s">
        <v>13</v>
      </c>
      <c r="B14" s="77">
        <v>0</v>
      </c>
      <c r="C14" s="78">
        <v>8.0000000003028635</v>
      </c>
      <c r="D14" s="78">
        <v>2.0000000018171828</v>
      </c>
      <c r="E14" s="79">
        <v>0</v>
      </c>
      <c r="F14" s="79">
        <v>0</v>
      </c>
      <c r="G14" s="79">
        <v>0</v>
      </c>
      <c r="H14" s="23">
        <v>1</v>
      </c>
    </row>
    <row r="15" spans="1:9" x14ac:dyDescent="0.15">
      <c r="A15" s="3" t="s">
        <v>14</v>
      </c>
      <c r="B15" s="80">
        <v>0</v>
      </c>
      <c r="C15" s="81">
        <v>0</v>
      </c>
      <c r="D15" s="81">
        <v>0</v>
      </c>
      <c r="E15" s="81">
        <v>6.0000000002271472</v>
      </c>
      <c r="F15" s="81">
        <v>6.9999999993564135</v>
      </c>
      <c r="G15" s="82">
        <v>11.000000000416437</v>
      </c>
      <c r="H15" s="24">
        <v>1</v>
      </c>
    </row>
    <row r="16" spans="1:9" x14ac:dyDescent="0.15">
      <c r="A16" s="3" t="s">
        <v>15</v>
      </c>
      <c r="B16" s="83">
        <v>0</v>
      </c>
      <c r="C16" s="84">
        <v>0</v>
      </c>
      <c r="D16" s="84">
        <v>0</v>
      </c>
      <c r="E16" s="81">
        <v>0</v>
      </c>
      <c r="F16" s="81">
        <v>0</v>
      </c>
      <c r="G16" s="82">
        <v>0</v>
      </c>
      <c r="H16" s="24">
        <v>0</v>
      </c>
    </row>
    <row r="17" spans="1:8" x14ac:dyDescent="0.15">
      <c r="A17" s="3" t="s">
        <v>16</v>
      </c>
      <c r="B17" s="80">
        <v>10.000000000378579</v>
      </c>
      <c r="C17" s="81">
        <v>0</v>
      </c>
      <c r="D17" s="81">
        <v>11.999999998712827</v>
      </c>
      <c r="E17" s="84">
        <v>0</v>
      </c>
      <c r="F17" s="84">
        <v>9.0859231249851291E-10</v>
      </c>
      <c r="G17" s="84">
        <v>0</v>
      </c>
      <c r="H17" s="24">
        <v>1</v>
      </c>
    </row>
    <row r="18" spans="1:8" ht="14" thickBot="1" x14ac:dyDescent="0.2">
      <c r="A18" s="5" t="s">
        <v>17</v>
      </c>
      <c r="B18" s="85">
        <v>0</v>
      </c>
      <c r="C18" s="86">
        <v>0</v>
      </c>
      <c r="D18" s="86">
        <v>0</v>
      </c>
      <c r="E18" s="87">
        <v>0</v>
      </c>
      <c r="F18" s="87">
        <v>0</v>
      </c>
      <c r="G18" s="87">
        <v>0</v>
      </c>
      <c r="H18" s="25">
        <v>0</v>
      </c>
    </row>
    <row r="19" spans="1:8" ht="6" customHeight="1" x14ac:dyDescent="0.15"/>
    <row r="20" spans="1:8" ht="14" thickBot="1" x14ac:dyDescent="0.2">
      <c r="A20" s="1" t="s">
        <v>23</v>
      </c>
    </row>
    <row r="21" spans="1:8" x14ac:dyDescent="0.1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15">
      <c r="A22" s="3" t="s">
        <v>13</v>
      </c>
      <c r="B22" s="73">
        <f>I4*H14-SUM(B14:G14)</f>
        <v>7.9999999978799536</v>
      </c>
      <c r="G22" s="4"/>
    </row>
    <row r="23" spans="1:8" x14ac:dyDescent="0.15">
      <c r="A23" s="3" t="s">
        <v>14</v>
      </c>
      <c r="B23" s="73">
        <f>I5*H15-SUM(B15:G15)</f>
        <v>0</v>
      </c>
      <c r="G23" s="4"/>
    </row>
    <row r="24" spans="1:8" x14ac:dyDescent="0.15">
      <c r="A24" s="3" t="s">
        <v>15</v>
      </c>
      <c r="B24" s="73">
        <f>I6*H16-SUM(B16:G16)</f>
        <v>0</v>
      </c>
      <c r="G24" s="4"/>
    </row>
    <row r="25" spans="1:8" x14ac:dyDescent="0.15">
      <c r="A25" s="3" t="s">
        <v>16</v>
      </c>
      <c r="B25" s="73">
        <f>I7*H17-SUM(B17:G17)</f>
        <v>0</v>
      </c>
      <c r="G25" s="4"/>
    </row>
    <row r="26" spans="1:8" x14ac:dyDescent="0.15">
      <c r="A26" s="3" t="s">
        <v>17</v>
      </c>
      <c r="B26" s="73">
        <f>I8*H18-SUM(B18:G18)</f>
        <v>0</v>
      </c>
      <c r="G26" s="4"/>
    </row>
    <row r="27" spans="1:8" ht="5.25" customHeight="1" x14ac:dyDescent="0.15">
      <c r="A27" s="3"/>
      <c r="B27" s="10"/>
      <c r="G27" s="4"/>
    </row>
    <row r="28" spans="1:8" x14ac:dyDescent="0.1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4" thickBot="1" x14ac:dyDescent="0.2">
      <c r="A29" s="43" t="s">
        <v>25</v>
      </c>
      <c r="B29" s="74">
        <f t="shared" ref="B29:G29" si="0">B9-SUM(B14:B18)</f>
        <v>-3.7857894596982078E-10</v>
      </c>
      <c r="C29" s="75">
        <f t="shared" si="0"/>
        <v>-3.028635120472245E-10</v>
      </c>
      <c r="D29" s="75">
        <f t="shared" si="0"/>
        <v>-5.3000981381501333E-10</v>
      </c>
      <c r="E29" s="75">
        <f t="shared" si="0"/>
        <v>-2.2714718994620853E-10</v>
      </c>
      <c r="F29" s="75">
        <f t="shared" si="0"/>
        <v>-2.6500579508592637E-10</v>
      </c>
      <c r="G29" s="76">
        <f t="shared" si="0"/>
        <v>-4.1643666293111892E-10</v>
      </c>
    </row>
    <row r="30" spans="1:8" ht="6" customHeight="1" x14ac:dyDescent="0.15"/>
    <row r="31" spans="1:8" ht="14" thickBot="1" x14ac:dyDescent="0.2">
      <c r="A31" s="1" t="s">
        <v>26</v>
      </c>
    </row>
    <row r="32" spans="1:8" ht="14" thickBot="1" x14ac:dyDescent="0.2">
      <c r="A32" s="41" t="s">
        <v>27</v>
      </c>
      <c r="B32" s="50">
        <f>SUMPRODUCT(B14:G18,B4:G8)+SUMPRODUCT(H14:H18,H4:H8)</f>
        <v>47401.000001618915</v>
      </c>
      <c r="G32" s="110"/>
    </row>
    <row r="33" spans="1:7" x14ac:dyDescent="0.15">
      <c r="A33" s="109"/>
      <c r="G33" s="108"/>
    </row>
    <row r="38" spans="1:7" x14ac:dyDescent="0.15">
      <c r="A38" s="1"/>
      <c r="B38" s="1"/>
    </row>
    <row r="39" spans="1:7" x14ac:dyDescent="0.15">
      <c r="A39" s="94"/>
    </row>
    <row r="40" spans="1:7" ht="14" x14ac:dyDescent="0.15">
      <c r="A40" s="98"/>
      <c r="B40" s="97"/>
    </row>
    <row r="41" spans="1:7" ht="14" x14ac:dyDescent="0.15">
      <c r="A41" s="98"/>
      <c r="B41" s="97"/>
    </row>
    <row r="42" spans="1:7" ht="14" x14ac:dyDescent="0.15">
      <c r="A42" s="98"/>
      <c r="B42" s="97"/>
    </row>
    <row r="43" spans="1:7" ht="14" x14ac:dyDescent="0.15">
      <c r="A43" s="98"/>
      <c r="B43" s="97"/>
    </row>
    <row r="44" spans="1:7" ht="14" x14ac:dyDescent="0.15">
      <c r="A44" s="98"/>
      <c r="B44" s="97"/>
    </row>
    <row r="45" spans="1:7" ht="14" x14ac:dyDescent="0.15">
      <c r="A45" s="98"/>
      <c r="B45" s="97"/>
    </row>
    <row r="46" spans="1:7" ht="14" x14ac:dyDescent="0.15">
      <c r="A46" s="98"/>
      <c r="B46" s="97"/>
    </row>
    <row r="48" spans="1:7" x14ac:dyDescent="0.15">
      <c r="A48" s="94"/>
      <c r="B48" s="94"/>
    </row>
    <row r="49" spans="1:2" ht="14" x14ac:dyDescent="0.15">
      <c r="A49" s="98"/>
      <c r="B49" s="97"/>
    </row>
    <row r="50" spans="1:2" ht="14" x14ac:dyDescent="0.15">
      <c r="A50" s="98"/>
      <c r="B50" s="97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6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I60"/>
  <sheetViews>
    <sheetView showGridLines="0" tabSelected="1" topLeftCell="A13" zoomScaleNormal="100" workbookViewId="0">
      <selection activeCell="J35" sqref="J35"/>
    </sheetView>
  </sheetViews>
  <sheetFormatPr baseColWidth="10" defaultColWidth="8.83203125" defaultRowHeight="13" x14ac:dyDescent="0.15"/>
  <cols>
    <col min="1" max="1" width="14.6640625" customWidth="1"/>
    <col min="2" max="2" width="11.5" bestFit="1" customWidth="1"/>
    <col min="3" max="6" width="8.33203125" bestFit="1" customWidth="1"/>
    <col min="7" max="8" width="9.5" bestFit="1" customWidth="1"/>
    <col min="9" max="9" width="9.33203125" bestFit="1" customWidth="1"/>
  </cols>
  <sheetData>
    <row r="1" spans="1:9" ht="14" thickBot="1" x14ac:dyDescent="0.2">
      <c r="A1" s="1" t="s">
        <v>29</v>
      </c>
    </row>
    <row r="2" spans="1:9" ht="27" customHeight="1" x14ac:dyDescent="0.15">
      <c r="A2" s="18"/>
      <c r="B2" s="117" t="s">
        <v>1</v>
      </c>
      <c r="C2" s="118"/>
      <c r="D2" s="118"/>
      <c r="E2" s="118"/>
      <c r="F2" s="118"/>
      <c r="G2" s="119"/>
      <c r="H2" s="37" t="s">
        <v>2</v>
      </c>
      <c r="I2" s="38" t="s">
        <v>3</v>
      </c>
    </row>
    <row r="3" spans="1:9" x14ac:dyDescent="0.15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15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15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15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15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15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4" thickBot="1" x14ac:dyDescent="0.2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15">
      <c r="A10" s="2"/>
    </row>
    <row r="11" spans="1:9" ht="13.5" customHeight="1" thickBot="1" x14ac:dyDescent="0.2">
      <c r="A11" s="1" t="s">
        <v>19</v>
      </c>
    </row>
    <row r="12" spans="1:9" ht="13.5" customHeight="1" x14ac:dyDescent="0.15">
      <c r="A12" s="18"/>
      <c r="B12" s="117" t="s">
        <v>31</v>
      </c>
      <c r="C12" s="120"/>
      <c r="D12" s="120"/>
      <c r="E12" s="120"/>
      <c r="F12" s="120"/>
      <c r="G12" s="121"/>
      <c r="H12" s="61" t="s">
        <v>21</v>
      </c>
    </row>
    <row r="13" spans="1:9" ht="13.5" customHeight="1" x14ac:dyDescent="0.1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ht="13.5" customHeight="1" x14ac:dyDescent="0.15">
      <c r="A14" s="11" t="s">
        <v>13</v>
      </c>
      <c r="B14" s="77">
        <v>0</v>
      </c>
      <c r="C14" s="78">
        <v>0</v>
      </c>
      <c r="D14" s="78">
        <v>0</v>
      </c>
      <c r="E14" s="79">
        <v>0</v>
      </c>
      <c r="F14" s="79">
        <v>0</v>
      </c>
      <c r="G14" s="79">
        <v>0</v>
      </c>
      <c r="H14" s="23">
        <v>0</v>
      </c>
    </row>
    <row r="15" spans="1:9" ht="13.5" customHeight="1" x14ac:dyDescent="0.15">
      <c r="A15" s="3" t="s">
        <v>14</v>
      </c>
      <c r="B15" s="80">
        <v>0</v>
      </c>
      <c r="C15" s="81">
        <v>0</v>
      </c>
      <c r="D15" s="81">
        <v>0</v>
      </c>
      <c r="E15" s="81">
        <v>0</v>
      </c>
      <c r="F15" s="81">
        <v>0</v>
      </c>
      <c r="G15" s="82">
        <v>0</v>
      </c>
      <c r="H15" s="24">
        <v>0</v>
      </c>
    </row>
    <row r="16" spans="1:9" ht="13.5" customHeight="1" x14ac:dyDescent="0.15">
      <c r="A16" s="3" t="s">
        <v>15</v>
      </c>
      <c r="B16" s="83">
        <v>0</v>
      </c>
      <c r="C16" s="84">
        <v>0</v>
      </c>
      <c r="D16" s="84">
        <v>0</v>
      </c>
      <c r="E16" s="81">
        <v>1</v>
      </c>
      <c r="F16" s="81">
        <v>0</v>
      </c>
      <c r="G16" s="82">
        <v>1</v>
      </c>
      <c r="H16" s="24">
        <v>1</v>
      </c>
    </row>
    <row r="17" spans="1:8" ht="13.5" customHeight="1" x14ac:dyDescent="0.15">
      <c r="A17" s="3" t="s">
        <v>16</v>
      </c>
      <c r="B17" s="80">
        <v>1</v>
      </c>
      <c r="C17" s="81">
        <v>1</v>
      </c>
      <c r="D17" s="81">
        <v>0</v>
      </c>
      <c r="E17" s="84">
        <v>0</v>
      </c>
      <c r="F17" s="84">
        <v>0</v>
      </c>
      <c r="G17" s="84">
        <v>0</v>
      </c>
      <c r="H17" s="24">
        <v>1</v>
      </c>
    </row>
    <row r="18" spans="1:8" ht="13.5" customHeight="1" thickBot="1" x14ac:dyDescent="0.2">
      <c r="A18" s="5" t="s">
        <v>17</v>
      </c>
      <c r="B18" s="85">
        <v>0</v>
      </c>
      <c r="C18" s="86">
        <v>0</v>
      </c>
      <c r="D18" s="86">
        <v>1</v>
      </c>
      <c r="E18" s="87">
        <v>0</v>
      </c>
      <c r="F18" s="87">
        <v>1</v>
      </c>
      <c r="G18" s="87">
        <v>0</v>
      </c>
      <c r="H18" s="25">
        <v>1</v>
      </c>
    </row>
    <row r="19" spans="1:8" ht="6" customHeight="1" x14ac:dyDescent="0.15">
      <c r="B19" s="81"/>
      <c r="C19" s="81"/>
      <c r="D19" s="81"/>
      <c r="E19" s="84"/>
      <c r="F19" s="84"/>
      <c r="G19" s="84"/>
      <c r="H19" s="88"/>
    </row>
    <row r="20" spans="1:8" ht="14" thickBot="1" x14ac:dyDescent="0.2">
      <c r="A20" s="1" t="s">
        <v>32</v>
      </c>
    </row>
    <row r="21" spans="1:8" ht="12.75" customHeight="1" x14ac:dyDescent="0.15">
      <c r="A21" s="18"/>
      <c r="B21" s="117" t="s">
        <v>20</v>
      </c>
      <c r="C21" s="120"/>
      <c r="D21" s="120"/>
      <c r="E21" s="120"/>
      <c r="F21" s="120"/>
      <c r="G21" s="122"/>
    </row>
    <row r="22" spans="1:8" x14ac:dyDescent="0.15">
      <c r="A22" s="19" t="s">
        <v>4</v>
      </c>
      <c r="B22" s="16" t="s">
        <v>5</v>
      </c>
      <c r="C22" s="14" t="s">
        <v>6</v>
      </c>
      <c r="D22" s="14" t="s">
        <v>7</v>
      </c>
      <c r="E22" s="14" t="s">
        <v>8</v>
      </c>
      <c r="F22" s="14" t="s">
        <v>9</v>
      </c>
      <c r="G22" s="89" t="s">
        <v>10</v>
      </c>
    </row>
    <row r="23" spans="1:8" x14ac:dyDescent="0.15">
      <c r="A23" s="11" t="s">
        <v>13</v>
      </c>
      <c r="B23" s="77">
        <f t="shared" ref="B23:G25" si="0">B14*B$9</f>
        <v>0</v>
      </c>
      <c r="C23" s="78">
        <f t="shared" si="0"/>
        <v>0</v>
      </c>
      <c r="D23" s="78">
        <f t="shared" si="0"/>
        <v>0</v>
      </c>
      <c r="E23" s="79">
        <f t="shared" si="0"/>
        <v>0</v>
      </c>
      <c r="F23" s="79">
        <f t="shared" si="0"/>
        <v>0</v>
      </c>
      <c r="G23" s="90">
        <f t="shared" si="0"/>
        <v>0</v>
      </c>
    </row>
    <row r="24" spans="1:8" x14ac:dyDescent="0.15">
      <c r="A24" s="3" t="s">
        <v>14</v>
      </c>
      <c r="B24" s="80">
        <f t="shared" si="0"/>
        <v>0</v>
      </c>
      <c r="C24" s="81">
        <f t="shared" si="0"/>
        <v>0</v>
      </c>
      <c r="D24" s="81">
        <f t="shared" si="0"/>
        <v>0</v>
      </c>
      <c r="E24" s="81">
        <f t="shared" si="0"/>
        <v>0</v>
      </c>
      <c r="F24" s="81">
        <f t="shared" si="0"/>
        <v>0</v>
      </c>
      <c r="G24" s="91">
        <f t="shared" si="0"/>
        <v>0</v>
      </c>
    </row>
    <row r="25" spans="1:8" x14ac:dyDescent="0.15">
      <c r="A25" s="3" t="s">
        <v>15</v>
      </c>
      <c r="B25" s="83">
        <f t="shared" si="0"/>
        <v>0</v>
      </c>
      <c r="C25" s="84">
        <f t="shared" si="0"/>
        <v>0</v>
      </c>
      <c r="D25" s="84">
        <f t="shared" si="0"/>
        <v>0</v>
      </c>
      <c r="E25" s="81">
        <f t="shared" si="0"/>
        <v>6</v>
      </c>
      <c r="F25" s="81">
        <f t="shared" si="0"/>
        <v>0</v>
      </c>
      <c r="G25" s="91">
        <f t="shared" si="0"/>
        <v>11</v>
      </c>
    </row>
    <row r="26" spans="1:8" x14ac:dyDescent="0.15">
      <c r="A26" s="3" t="s">
        <v>16</v>
      </c>
      <c r="B26" s="80">
        <f t="shared" ref="B26:G27" si="1">B17*B$9</f>
        <v>10</v>
      </c>
      <c r="C26" s="81">
        <f t="shared" si="1"/>
        <v>8</v>
      </c>
      <c r="D26" s="81">
        <f t="shared" si="1"/>
        <v>0</v>
      </c>
      <c r="E26" s="84">
        <f t="shared" si="1"/>
        <v>0</v>
      </c>
      <c r="F26" s="84">
        <f t="shared" si="1"/>
        <v>0</v>
      </c>
      <c r="G26" s="92">
        <f t="shared" si="1"/>
        <v>0</v>
      </c>
    </row>
    <row r="27" spans="1:8" ht="14" thickBot="1" x14ac:dyDescent="0.2">
      <c r="A27" s="5" t="s">
        <v>17</v>
      </c>
      <c r="B27" s="85">
        <f t="shared" si="1"/>
        <v>0</v>
      </c>
      <c r="C27" s="86">
        <f t="shared" si="1"/>
        <v>0</v>
      </c>
      <c r="D27" s="86">
        <f t="shared" si="1"/>
        <v>14</v>
      </c>
      <c r="E27" s="87">
        <f t="shared" si="1"/>
        <v>0</v>
      </c>
      <c r="F27" s="87">
        <f t="shared" si="1"/>
        <v>7</v>
      </c>
      <c r="G27" s="93">
        <f t="shared" si="1"/>
        <v>0</v>
      </c>
    </row>
    <row r="28" spans="1:8" ht="6" customHeight="1" x14ac:dyDescent="0.15"/>
    <row r="29" spans="1:8" ht="14" thickBot="1" x14ac:dyDescent="0.2">
      <c r="A29" s="1" t="s">
        <v>23</v>
      </c>
    </row>
    <row r="30" spans="1:8" x14ac:dyDescent="0.15">
      <c r="A30" s="27" t="s">
        <v>4</v>
      </c>
      <c r="B30" s="28" t="s">
        <v>24</v>
      </c>
      <c r="C30" s="8"/>
      <c r="D30" s="8"/>
      <c r="E30" s="8"/>
      <c r="F30" s="8"/>
      <c r="G30" s="9"/>
    </row>
    <row r="31" spans="1:8" x14ac:dyDescent="0.15">
      <c r="A31" s="3" t="s">
        <v>13</v>
      </c>
      <c r="B31" s="73">
        <f>I4*H14-SUMPRODUCT(B14:G14,$B$9:$G$9)</f>
        <v>0</v>
      </c>
      <c r="G31" s="4"/>
    </row>
    <row r="32" spans="1:8" x14ac:dyDescent="0.15">
      <c r="A32" s="3" t="s">
        <v>14</v>
      </c>
      <c r="B32" s="73">
        <f>I5*H15-SUMPRODUCT(B15:G15,$B$9:$G$9)</f>
        <v>0</v>
      </c>
      <c r="G32" s="4"/>
    </row>
    <row r="33" spans="1:8" x14ac:dyDescent="0.15">
      <c r="A33" s="3" t="s">
        <v>15</v>
      </c>
      <c r="B33" s="73">
        <f>I6*H16-SUMPRODUCT(B16:G16,$B$9:$G$9)</f>
        <v>10</v>
      </c>
      <c r="G33" s="4"/>
    </row>
    <row r="34" spans="1:8" x14ac:dyDescent="0.15">
      <c r="A34" s="3" t="s">
        <v>16</v>
      </c>
      <c r="B34" s="73">
        <f>I7*H17-SUMPRODUCT(B17:G17,$B$9:$G$9)</f>
        <v>4</v>
      </c>
      <c r="G34" s="4"/>
    </row>
    <row r="35" spans="1:8" x14ac:dyDescent="0.15">
      <c r="A35" s="3" t="s">
        <v>17</v>
      </c>
      <c r="B35" s="73">
        <f>I8*H18-SUMPRODUCT(B18:G18,$B$9:$G$9)</f>
        <v>10</v>
      </c>
      <c r="G35" s="4"/>
    </row>
    <row r="36" spans="1:8" ht="5.25" customHeight="1" x14ac:dyDescent="0.15">
      <c r="A36" s="3"/>
      <c r="B36" s="10"/>
      <c r="G36" s="4"/>
    </row>
    <row r="37" spans="1:8" x14ac:dyDescent="0.15">
      <c r="A37" s="3"/>
      <c r="B37" s="16" t="s">
        <v>5</v>
      </c>
      <c r="C37" s="26" t="s">
        <v>6</v>
      </c>
      <c r="D37" s="26" t="s">
        <v>7</v>
      </c>
      <c r="E37" s="26" t="s">
        <v>8</v>
      </c>
      <c r="F37" s="26" t="s">
        <v>9</v>
      </c>
      <c r="G37" s="29" t="s">
        <v>10</v>
      </c>
    </row>
    <row r="38" spans="1:8" ht="14" thickBot="1" x14ac:dyDescent="0.2">
      <c r="A38" s="43" t="s">
        <v>18</v>
      </c>
      <c r="B38" s="74">
        <f t="shared" ref="B38:G38" si="2">SUM(B14:B18)</f>
        <v>1</v>
      </c>
      <c r="C38" s="75">
        <f t="shared" si="2"/>
        <v>1</v>
      </c>
      <c r="D38" s="75">
        <f t="shared" si="2"/>
        <v>1</v>
      </c>
      <c r="E38" s="75">
        <f t="shared" si="2"/>
        <v>1</v>
      </c>
      <c r="F38" s="75">
        <f t="shared" si="2"/>
        <v>1</v>
      </c>
      <c r="G38" s="76">
        <f t="shared" si="2"/>
        <v>1</v>
      </c>
    </row>
    <row r="39" spans="1:8" ht="6" customHeight="1" x14ac:dyDescent="0.15"/>
    <row r="40" spans="1:8" ht="14" thickBot="1" x14ac:dyDescent="0.2">
      <c r="A40" s="1" t="s">
        <v>26</v>
      </c>
    </row>
    <row r="41" spans="1:8" ht="14" thickBot="1" x14ac:dyDescent="0.2">
      <c r="A41" s="41" t="s">
        <v>27</v>
      </c>
      <c r="B41" s="50">
        <f>SUMPRODUCT(B23:G27,B4:G8)+SUMPRODUCT(H14:H18,H4:H8)</f>
        <v>49717</v>
      </c>
      <c r="H41" s="110"/>
    </row>
    <row r="42" spans="1:8" x14ac:dyDescent="0.15">
      <c r="A42" s="109"/>
      <c r="B42" s="109"/>
      <c r="C42" s="109"/>
      <c r="D42" s="109"/>
      <c r="E42" s="109"/>
      <c r="F42" s="109"/>
      <c r="G42" s="109"/>
      <c r="H42" s="115"/>
    </row>
    <row r="48" spans="1:8" x14ac:dyDescent="0.15">
      <c r="A48" s="1"/>
      <c r="B48" s="1"/>
    </row>
    <row r="49" spans="1:2" x14ac:dyDescent="0.15">
      <c r="A49" s="94"/>
    </row>
    <row r="50" spans="1:2" ht="14" x14ac:dyDescent="0.15">
      <c r="A50" s="98"/>
      <c r="B50" s="97"/>
    </row>
    <row r="51" spans="1:2" ht="14" x14ac:dyDescent="0.15">
      <c r="A51" s="98"/>
      <c r="B51" s="97"/>
    </row>
    <row r="52" spans="1:2" ht="14" x14ac:dyDescent="0.15">
      <c r="A52" s="98"/>
      <c r="B52" s="97"/>
    </row>
    <row r="53" spans="1:2" ht="14" x14ac:dyDescent="0.15">
      <c r="A53" s="98"/>
      <c r="B53" s="97"/>
    </row>
    <row r="54" spans="1:2" ht="14" x14ac:dyDescent="0.15">
      <c r="A54" s="98"/>
      <c r="B54" s="97"/>
    </row>
    <row r="55" spans="1:2" ht="14" x14ac:dyDescent="0.15">
      <c r="A55" s="98"/>
      <c r="B55" s="97"/>
    </row>
    <row r="56" spans="1:2" ht="14" x14ac:dyDescent="0.15">
      <c r="A56" s="98"/>
      <c r="B56" s="97"/>
    </row>
    <row r="58" spans="1:2" x14ac:dyDescent="0.15">
      <c r="A58" s="94"/>
      <c r="B58" s="94"/>
    </row>
    <row r="59" spans="1:2" ht="14" x14ac:dyDescent="0.15">
      <c r="A59" s="98"/>
      <c r="B59" s="97"/>
    </row>
    <row r="60" spans="1:2" ht="14" x14ac:dyDescent="0.15">
      <c r="A60" s="98"/>
      <c r="B60" s="97"/>
    </row>
  </sheetData>
  <mergeCells count="3">
    <mergeCell ref="B2:G2"/>
    <mergeCell ref="B21:G21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47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7512dc9-2fd2-42d8-b770-d89700c70ea3" xsi:nil="true"/>
    <lcf76f155ced4ddcb4097134ff3c332f xmlns="a5937f9d-7e65-4acd-81f8-ebbf17220de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11" ma:contentTypeDescription="Crée un document." ma:contentTypeScope="" ma:versionID="7e95f615bbc9302d793f16d5b0e9e329">
  <xsd:schema xmlns:xsd="http://www.w3.org/2001/XMLSchema" xmlns:xs="http://www.w3.org/2001/XMLSchema" xmlns:p="http://schemas.microsoft.com/office/2006/metadata/properties" xmlns:ns2="a5937f9d-7e65-4acd-81f8-ebbf17220de2" xmlns:ns3="07512dc9-2fd2-42d8-b770-d89700c70ea3" targetNamespace="http://schemas.microsoft.com/office/2006/metadata/properties" ma:root="true" ma:fieldsID="3639192e07a0932f28ce6125fd1f849d" ns2:_="" ns3:_="">
    <xsd:import namespace="a5937f9d-7e65-4acd-81f8-ebbf17220de2"/>
    <xsd:import namespace="07512dc9-2fd2-42d8-b770-d89700c70e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937f9d-7e65-4acd-81f8-ebbf17220d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a574ef16-3a30-4beb-bd52-58ad43421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512dc9-2fd2-42d8-b770-d89700c70ea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8c54c7e-2104-41a9-bfbc-2836e1414a9c}" ma:internalName="TaxCatchAll" ma:showField="CatchAllData" ma:web="07512dc9-2fd2-42d8-b770-d89700c70ea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30453B-FA04-47BA-9FB1-D6C47C5F91E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87D36DA-734A-4D88-B1E9-DF913CB339BC}"/>
</file>

<file path=customXml/itemProps3.xml><?xml version="1.0" encoding="utf-8"?>
<ds:datastoreItem xmlns:ds="http://schemas.openxmlformats.org/officeDocument/2006/customXml" ds:itemID="{24E00030-0F6D-4368-BD86-1FD5925979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HighOptic</vt:lpstr>
      <vt:lpstr>TelecomOne</vt:lpstr>
      <vt:lpstr>Merged Network with All Plants </vt:lpstr>
      <vt:lpstr>Merged Network with opt Plants </vt:lpstr>
      <vt:lpstr>Merged Network Single Sourcing</vt:lpstr>
      <vt:lpstr>HighOptic!Print_Area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Tadayonrad Yasin</cp:lastModifiedBy>
  <cp:revision/>
  <dcterms:created xsi:type="dcterms:W3CDTF">1999-02-07T23:04:46Z</dcterms:created>
  <dcterms:modified xsi:type="dcterms:W3CDTF">2023-12-02T11:44:48Z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