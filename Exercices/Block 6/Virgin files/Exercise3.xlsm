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1013" codeName="{CEAC5D1E-EA50-3977-4720-3AE11EBBE5F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qalinca/Documents/Documents/Prof NDIAYE/Cameroon 2024/Logistics course 2023-2024/Materials/Block 2 - Logistics Network/2024/"/>
    </mc:Choice>
  </mc:AlternateContent>
  <xr:revisionPtr revIDLastSave="0" documentId="13_ncr:1_{F4F600C9-5096-9B44-B459-D23B2E876E03}" xr6:coauthVersionLast="47" xr6:coauthVersionMax="47" xr10:uidLastSave="{00000000-0000-0000-0000-000000000000}"/>
  <bookViews>
    <workbookView xWindow="0" yWindow="500" windowWidth="25600" windowHeight="13220" xr2:uid="{00000000-000D-0000-FFFF-FFFF00000000}"/>
  </bookViews>
  <sheets>
    <sheet name="Sheet1" sheetId="3" r:id="rId1"/>
  </sheets>
  <definedNames>
    <definedName name="_xlnm.Print_Area" localSheetId="0">Sheet1!$A$1:$I$70</definedName>
    <definedName name="solver_adj" localSheetId="0" hidden="1">Sheet1!$B$14:$G$18</definedName>
    <definedName name="solver_cvg" localSheetId="0" hidden="1">0.001</definedName>
    <definedName name="solver_drv" localSheetId="0" hidden="1">1</definedName>
    <definedName name="solver_dua" localSheetId="0" hidden="1">1</definedName>
    <definedName name="solver_eng" localSheetId="0" hidden="1">1</definedName>
    <definedName name="solver_est" localSheetId="0" hidden="1">1</definedName>
    <definedName name="solver_ibd" localSheetId="0" hidden="1">2</definedName>
    <definedName name="solver_itr" localSheetId="0" hidden="1">100</definedName>
    <definedName name="solver_lhs1" localSheetId="0" hidden="1">Sheet1!$B$14:$G$18</definedName>
    <definedName name="solver_lhs2" localSheetId="0" hidden="1">Sheet1!$B$31:$B$35</definedName>
    <definedName name="solver_lhs3" localSheetId="0" hidden="1">Sheet1!$B$38:$G$38</definedName>
    <definedName name="solver_lhs4" localSheetId="0" hidden="1">Sheet1!$E$38:$G$38</definedName>
    <definedName name="solver_lhs5" localSheetId="0" hidden="1">Sheet1!$B$33</definedName>
    <definedName name="solver_lhs6" localSheetId="0" hidden="1">Sheet1!$E$38:$G$38</definedName>
    <definedName name="solver_lin" localSheetId="0" hidden="1">2</definedName>
    <definedName name="solver_lva" localSheetId="0" hidden="1">2</definedName>
    <definedName name="solver_mip" localSheetId="0" hidden="1">1000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2</definedName>
    <definedName name="solver_nod" localSheetId="0" hidden="1">1000</definedName>
    <definedName name="solver_num" localSheetId="0" hidden="1">3</definedName>
    <definedName name="solver_nwt" localSheetId="0" hidden="1">1</definedName>
    <definedName name="solver_ofx" localSheetId="0" hidden="1">2</definedName>
    <definedName name="solver_opt" localSheetId="0" hidden="1">Sheet1!$B$41</definedName>
    <definedName name="solver_pre" localSheetId="0" hidden="1">0.000001</definedName>
    <definedName name="solver_pro" localSheetId="0" hidden="1">2</definedName>
    <definedName name="solver_rbv" localSheetId="0" hidden="1">1</definedName>
    <definedName name="solver_rel1" localSheetId="0" hidden="1">3</definedName>
    <definedName name="solver_rel2" localSheetId="0" hidden="1">3</definedName>
    <definedName name="solver_rel3" localSheetId="0" hidden="1">1</definedName>
    <definedName name="solver_rel4" localSheetId="0" hidden="1">2</definedName>
    <definedName name="solver_rel5" localSheetId="0" hidden="1">3</definedName>
    <definedName name="solver_rel6" localSheetId="0" hidden="1">2</definedName>
    <definedName name="solver_reo" localSheetId="0" hidden="1">2</definedName>
    <definedName name="solver_rep" localSheetId="0" hidden="1">2</definedName>
    <definedName name="solver_rhs1" localSheetId="0" hidden="1">0</definedName>
    <definedName name="solver_rhs2" localSheetId="0" hidden="1">0</definedName>
    <definedName name="solver_rhs3" localSheetId="0" hidden="1">0</definedName>
    <definedName name="solver_rhs4" localSheetId="0" hidden="1">0</definedName>
    <definedName name="solver_rhs5" localSheetId="0" hidden="1">0</definedName>
    <definedName name="solver_rhs6" localSheetId="0" hidden="1">0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0</definedName>
    <definedName name="solver_tim" localSheetId="0" hidden="1">100</definedName>
    <definedName name="solver_tms" localSheetId="0" hidden="1">2</definedName>
    <definedName name="solver_tol" localSheetId="0" hidden="1">0.05</definedName>
    <definedName name="solver_typ" localSheetId="0" hidden="1">2</definedName>
    <definedName name="solver_val" localSheetId="0" hidden="1">0</definedName>
    <definedName name="solver_ver" localSheetId="0" hidden="1">2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36" i="3" l="1"/>
  <c r="B26" i="3"/>
  <c r="B24" i="3"/>
  <c r="G27" i="3"/>
  <c r="G23" i="3"/>
  <c r="F23" i="3"/>
  <c r="B25" i="3"/>
  <c r="B27" i="3"/>
  <c r="B23" i="3"/>
  <c r="F27" i="3"/>
  <c r="E27" i="3"/>
  <c r="D27" i="3"/>
  <c r="C27" i="3"/>
  <c r="G26" i="3"/>
  <c r="F26" i="3"/>
  <c r="E26" i="3"/>
  <c r="D26" i="3"/>
  <c r="C26" i="3"/>
  <c r="G25" i="3"/>
  <c r="F25" i="3"/>
  <c r="E25" i="3"/>
  <c r="D25" i="3"/>
  <c r="C25" i="3"/>
  <c r="G24" i="3"/>
  <c r="F24" i="3"/>
  <c r="E24" i="3"/>
  <c r="D24" i="3"/>
  <c r="C24" i="3"/>
  <c r="E23" i="3"/>
  <c r="D23" i="3"/>
  <c r="C23" i="3"/>
</calcChain>
</file>

<file path=xl/sharedStrings.xml><?xml version="1.0" encoding="utf-8"?>
<sst xmlns="http://schemas.openxmlformats.org/spreadsheetml/2006/main" count="66" uniqueCount="29">
  <si>
    <t>Inputs - Costs, Capacities, Demands (HighOptic &amp; TelecomOne &gt;&gt; merged as TelecomOptic)</t>
  </si>
  <si>
    <t>Demand City
Production and Transportation Cost per 1000 Units</t>
  </si>
  <si>
    <t xml:space="preserve">Fixed </t>
  </si>
  <si>
    <t>Capacity</t>
  </si>
  <si>
    <t>Supply City</t>
  </si>
  <si>
    <t>Atlanta</t>
  </si>
  <si>
    <t>Boston</t>
  </si>
  <si>
    <t>Chicago</t>
  </si>
  <si>
    <t>Denver</t>
  </si>
  <si>
    <t>Omaha</t>
  </si>
  <si>
    <t>Portland</t>
  </si>
  <si>
    <t>Cost ($)</t>
  </si>
  <si>
    <t>Baltimore</t>
  </si>
  <si>
    <t>Cheyenne</t>
  </si>
  <si>
    <t>Salt Lake</t>
  </si>
  <si>
    <t>Memphis</t>
  </si>
  <si>
    <t>Wichita</t>
  </si>
  <si>
    <t>Demand</t>
  </si>
  <si>
    <t>Decision Variables</t>
  </si>
  <si>
    <t>Demand City - Production Allocation (1000 Units)</t>
  </si>
  <si>
    <t>Plants</t>
  </si>
  <si>
    <t>(1=open)</t>
  </si>
  <si>
    <t>Constraints</t>
  </si>
  <si>
    <t>Excess Capacity</t>
  </si>
  <si>
    <t>Unmet Demand</t>
  </si>
  <si>
    <t>Objective Function</t>
  </si>
  <si>
    <t>Cost =</t>
  </si>
  <si>
    <t>Resulting Production Allocation</t>
  </si>
  <si>
    <t>X Variaables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</si>
</sst>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_(&quot;$&quot;* #,##0_);_(&quot;$&quot;* \(#,##0\);_(&quot;$&quot;* &quot;-&quot;??_);_(@_)"/>
    <numFmt numFmtId="167" formatCode="_(* #,##0_);_(* \(#,##0\);_(* &quot;-&quot;??_);_(@_)"/>
  </numFmts>
  <fonts count="8" x14ac:knownFonts="1">
    <font>
      <sz val="10"/>
      <name val="Arial"/>
    </font>
    <font>
      <sz val="10"/>
      <name val="Arial"/>
      <family val="2"/>
    </font>
    <font>
      <b/>
      <i/>
      <sz val="10"/>
      <name val="Arial"/>
      <family val="2"/>
    </font>
    <font>
      <b/>
      <sz val="10"/>
      <name val="Arial"/>
      <family val="2"/>
    </font>
    <font>
      <i/>
      <sz val="10"/>
      <name val="Arial"/>
      <family val="2"/>
    </font>
    <font>
      <sz val="11"/>
      <name val="Times New Roman"/>
      <family val="1"/>
    </font>
    <font>
      <i/>
      <sz val="11"/>
      <name val="Times New Roman"/>
      <family val="1"/>
    </font>
    <font>
      <sz val="10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59999389629810485"/>
        <bgColor indexed="64"/>
      </patternFill>
    </fill>
  </fills>
  <borders count="35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57">
    <xf numFmtId="0" fontId="0" fillId="0" borderId="0" xfId="0"/>
    <xf numFmtId="0" fontId="2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0" xfId="0" applyBorder="1"/>
    <xf numFmtId="0" fontId="0" fillId="0" borderId="12" xfId="0" applyBorder="1"/>
    <xf numFmtId="0" fontId="0" fillId="0" borderId="13" xfId="0" applyBorder="1" applyAlignment="1">
      <alignment horizontal="right"/>
    </xf>
    <xf numFmtId="0" fontId="0" fillId="0" borderId="14" xfId="0" applyBorder="1"/>
    <xf numFmtId="0" fontId="0" fillId="0" borderId="15" xfId="0" applyBorder="1" applyAlignment="1">
      <alignment horizontal="right"/>
    </xf>
    <xf numFmtId="0" fontId="0" fillId="0" borderId="17" xfId="0" applyBorder="1"/>
    <xf numFmtId="0" fontId="4" fillId="0" borderId="18" xfId="0" applyFont="1" applyBorder="1"/>
    <xf numFmtId="0" fontId="3" fillId="0" borderId="19" xfId="0" applyFont="1" applyBorder="1" applyAlignment="1">
      <alignment horizontal="right"/>
    </xf>
    <xf numFmtId="0" fontId="0" fillId="0" borderId="20" xfId="0" applyBorder="1" applyAlignment="1">
      <alignment horizontal="right" wrapText="1"/>
    </xf>
    <xf numFmtId="0" fontId="0" fillId="0" borderId="19" xfId="0" applyBorder="1" applyAlignment="1">
      <alignment horizontal="right"/>
    </xf>
    <xf numFmtId="0" fontId="0" fillId="0" borderId="21" xfId="0" applyBorder="1" applyAlignment="1">
      <alignment horizontal="right"/>
    </xf>
    <xf numFmtId="0" fontId="4" fillId="0" borderId="22" xfId="0" applyFont="1" applyBorder="1"/>
    <xf numFmtId="0" fontId="4" fillId="0" borderId="23" xfId="0" applyFont="1" applyBorder="1"/>
    <xf numFmtId="0" fontId="0" fillId="0" borderId="24" xfId="0" applyBorder="1" applyAlignment="1">
      <alignment horizontal="right"/>
    </xf>
    <xf numFmtId="167" fontId="0" fillId="0" borderId="25" xfId="1" applyNumberFormat="1" applyFont="1" applyBorder="1"/>
    <xf numFmtId="167" fontId="0" fillId="0" borderId="11" xfId="1" applyNumberFormat="1" applyFont="1" applyBorder="1"/>
    <xf numFmtId="167" fontId="0" fillId="0" borderId="9" xfId="1" applyNumberFormat="1" applyFont="1" applyBorder="1"/>
    <xf numFmtId="167" fontId="0" fillId="0" borderId="0" xfId="1" applyNumberFormat="1" applyFont="1" applyBorder="1"/>
    <xf numFmtId="0" fontId="3" fillId="0" borderId="26" xfId="0" applyFont="1" applyBorder="1" applyAlignment="1">
      <alignment horizontal="right"/>
    </xf>
    <xf numFmtId="0" fontId="3" fillId="0" borderId="20" xfId="0" applyFont="1" applyBorder="1" applyAlignment="1">
      <alignment horizontal="right"/>
    </xf>
    <xf numFmtId="167" fontId="0" fillId="0" borderId="27" xfId="1" applyNumberFormat="1" applyFont="1" applyBorder="1"/>
    <xf numFmtId="167" fontId="0" fillId="0" borderId="28" xfId="1" applyNumberFormat="1" applyFont="1" applyBorder="1"/>
    <xf numFmtId="166" fontId="0" fillId="0" borderId="30" xfId="2" applyNumberFormat="1" applyFont="1" applyBorder="1"/>
    <xf numFmtId="0" fontId="4" fillId="0" borderId="4" xfId="0" applyFont="1" applyBorder="1"/>
    <xf numFmtId="1" fontId="0" fillId="0" borderId="16" xfId="0" applyNumberFormat="1" applyBorder="1"/>
    <xf numFmtId="0" fontId="5" fillId="0" borderId="0" xfId="0" applyFont="1" applyAlignment="1">
      <alignment horizontal="left"/>
    </xf>
    <xf numFmtId="0" fontId="6" fillId="0" borderId="0" xfId="0" applyFont="1" applyAlignment="1">
      <alignment horizontal="right"/>
    </xf>
    <xf numFmtId="0" fontId="4" fillId="0" borderId="0" xfId="0" applyFont="1"/>
    <xf numFmtId="166" fontId="3" fillId="0" borderId="0" xfId="2" applyNumberFormat="1" applyFont="1" applyFill="1"/>
    <xf numFmtId="0" fontId="3" fillId="0" borderId="0" xfId="0" applyFont="1"/>
    <xf numFmtId="166" fontId="0" fillId="0" borderId="0" xfId="2" applyNumberFormat="1" applyFont="1" applyBorder="1"/>
    <xf numFmtId="0" fontId="3" fillId="0" borderId="31" xfId="0" applyFont="1" applyBorder="1" applyAlignment="1">
      <alignment horizontal="right"/>
    </xf>
    <xf numFmtId="0" fontId="2" fillId="0" borderId="29" xfId="0" applyFont="1" applyBorder="1" applyAlignment="1">
      <alignment horizontal="right"/>
    </xf>
    <xf numFmtId="0" fontId="2" fillId="0" borderId="0" xfId="0" applyFont="1" applyAlignment="1">
      <alignment horizontal="left" vertical="center"/>
    </xf>
    <xf numFmtId="0" fontId="0" fillId="0" borderId="33" xfId="0" applyBorder="1" applyAlignment="1">
      <alignment horizontal="right"/>
    </xf>
    <xf numFmtId="1" fontId="1" fillId="0" borderId="34" xfId="1" applyNumberFormat="1" applyFill="1" applyBorder="1"/>
    <xf numFmtId="1" fontId="1" fillId="0" borderId="34" xfId="1" applyNumberFormat="1" applyBorder="1"/>
    <xf numFmtId="1" fontId="0" fillId="2" borderId="34" xfId="0" applyNumberFormat="1" applyFill="1" applyBorder="1"/>
    <xf numFmtId="0" fontId="0" fillId="3" borderId="34" xfId="0" applyFill="1" applyBorder="1" applyAlignment="1">
      <alignment horizontal="right"/>
    </xf>
    <xf numFmtId="0" fontId="7" fillId="4" borderId="16" xfId="0" applyFont="1" applyFill="1" applyBorder="1"/>
    <xf numFmtId="0" fontId="7" fillId="4" borderId="5" xfId="0" applyFont="1" applyFill="1" applyBorder="1"/>
    <xf numFmtId="0" fontId="4" fillId="0" borderId="23" xfId="0" applyFont="1" applyBorder="1" applyAlignment="1">
      <alignment horizontal="center" wrapText="1"/>
    </xf>
    <xf numFmtId="0" fontId="4" fillId="0" borderId="7" xfId="0" applyFont="1" applyBorder="1" applyAlignment="1">
      <alignment horizontal="center"/>
    </xf>
    <xf numFmtId="0" fontId="4" fillId="0" borderId="32" xfId="0" applyFont="1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1" fillId="2" borderId="0" xfId="0" applyFont="1" applyFill="1"/>
    <xf numFmtId="1" fontId="0" fillId="0" borderId="34" xfId="0" applyNumberFormat="1" applyBorder="1"/>
  </cellXfs>
  <cellStyles count="3">
    <cellStyle name="Comma" xfId="1" builtinId="3"/>
    <cellStyle name="Currency" xfId="2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61"/>
  <sheetViews>
    <sheetView showGridLines="0" tabSelected="1" zoomScale="116" zoomScaleNormal="95" workbookViewId="0">
      <selection activeCell="C25" sqref="C25"/>
    </sheetView>
  </sheetViews>
  <sheetFormatPr baseColWidth="10" defaultColWidth="8.83203125" defaultRowHeight="13" x14ac:dyDescent="0.15"/>
  <cols>
    <col min="1" max="1" width="14.6640625" customWidth="1"/>
    <col min="2" max="2" width="11.83203125" bestFit="1" customWidth="1"/>
    <col min="3" max="3" width="8.5" bestFit="1" customWidth="1"/>
    <col min="4" max="4" width="9.5" bestFit="1" customWidth="1"/>
    <col min="5" max="5" width="8.83203125" bestFit="1" customWidth="1"/>
    <col min="6" max="6" width="8.5" bestFit="1" customWidth="1"/>
    <col min="7" max="7" width="12.5" bestFit="1" customWidth="1"/>
    <col min="8" max="8" width="8.6640625" customWidth="1"/>
    <col min="9" max="9" width="10.83203125" customWidth="1"/>
    <col min="11" max="11" width="11.5" bestFit="1" customWidth="1"/>
  </cols>
  <sheetData>
    <row r="1" spans="1:11" ht="38" customHeight="1" thickBot="1" x14ac:dyDescent="0.2">
      <c r="A1" s="42" t="s">
        <v>0</v>
      </c>
    </row>
    <row r="2" spans="1:11" ht="27" customHeight="1" x14ac:dyDescent="0.15">
      <c r="A2" s="14"/>
      <c r="B2" s="50" t="s">
        <v>1</v>
      </c>
      <c r="C2" s="51"/>
      <c r="D2" s="51"/>
      <c r="E2" s="51"/>
      <c r="F2" s="51"/>
      <c r="G2" s="52"/>
      <c r="H2" s="27" t="s">
        <v>2</v>
      </c>
      <c r="I2" s="28" t="s">
        <v>3</v>
      </c>
    </row>
    <row r="3" spans="1:11" x14ac:dyDescent="0.15">
      <c r="A3" s="15" t="s">
        <v>4</v>
      </c>
      <c r="B3" s="13" t="s">
        <v>5</v>
      </c>
      <c r="C3" s="11" t="s">
        <v>6</v>
      </c>
      <c r="D3" s="11" t="s">
        <v>7</v>
      </c>
      <c r="E3" s="11" t="s">
        <v>8</v>
      </c>
      <c r="F3" s="11" t="s">
        <v>9</v>
      </c>
      <c r="G3" s="11" t="s">
        <v>10</v>
      </c>
      <c r="H3" s="40" t="s">
        <v>11</v>
      </c>
      <c r="I3" s="16"/>
    </row>
    <row r="4" spans="1:11" x14ac:dyDescent="0.15">
      <c r="A4" s="9" t="s">
        <v>12</v>
      </c>
      <c r="B4" s="23">
        <v>1675</v>
      </c>
      <c r="C4" s="24">
        <v>400</v>
      </c>
      <c r="D4" s="24">
        <v>685</v>
      </c>
      <c r="E4" s="24">
        <v>1630</v>
      </c>
      <c r="F4" s="24">
        <v>1160</v>
      </c>
      <c r="G4" s="24">
        <v>2800</v>
      </c>
      <c r="H4" s="29">
        <v>7650</v>
      </c>
      <c r="I4" s="10">
        <v>18</v>
      </c>
    </row>
    <row r="5" spans="1:11" x14ac:dyDescent="0.15">
      <c r="A5" s="3" t="s">
        <v>13</v>
      </c>
      <c r="B5" s="25">
        <v>1460</v>
      </c>
      <c r="C5" s="26">
        <v>1940</v>
      </c>
      <c r="D5" s="26">
        <v>970</v>
      </c>
      <c r="E5" s="26">
        <v>100</v>
      </c>
      <c r="F5" s="26">
        <v>495</v>
      </c>
      <c r="G5" s="26">
        <v>1200</v>
      </c>
      <c r="H5" s="30">
        <v>3500</v>
      </c>
      <c r="I5" s="4">
        <v>24</v>
      </c>
    </row>
    <row r="6" spans="1:11" x14ac:dyDescent="0.15">
      <c r="A6" s="3" t="s">
        <v>14</v>
      </c>
      <c r="B6" s="25">
        <v>1925</v>
      </c>
      <c r="C6" s="26">
        <v>2400</v>
      </c>
      <c r="D6" s="26">
        <v>1425</v>
      </c>
      <c r="E6" s="26">
        <v>500</v>
      </c>
      <c r="F6" s="26">
        <v>950</v>
      </c>
      <c r="G6" s="26">
        <v>800</v>
      </c>
      <c r="H6" s="30">
        <v>5000</v>
      </c>
      <c r="I6" s="4">
        <v>27</v>
      </c>
    </row>
    <row r="7" spans="1:11" x14ac:dyDescent="0.15">
      <c r="A7" s="3" t="s">
        <v>15</v>
      </c>
      <c r="B7" s="25">
        <v>380</v>
      </c>
      <c r="C7" s="26">
        <v>1355</v>
      </c>
      <c r="D7" s="26">
        <v>543</v>
      </c>
      <c r="E7" s="26">
        <v>1045</v>
      </c>
      <c r="F7" s="26">
        <v>665</v>
      </c>
      <c r="G7" s="26">
        <v>2321</v>
      </c>
      <c r="H7" s="30">
        <v>4100</v>
      </c>
      <c r="I7" s="4">
        <v>22</v>
      </c>
    </row>
    <row r="8" spans="1:11" x14ac:dyDescent="0.15">
      <c r="A8" s="3" t="s">
        <v>16</v>
      </c>
      <c r="B8" s="25">
        <v>922</v>
      </c>
      <c r="C8" s="26">
        <v>1646</v>
      </c>
      <c r="D8" s="26">
        <v>700</v>
      </c>
      <c r="E8" s="26">
        <v>508</v>
      </c>
      <c r="F8" s="26">
        <v>311</v>
      </c>
      <c r="G8" s="26">
        <v>1797</v>
      </c>
      <c r="H8" s="30">
        <v>2200</v>
      </c>
      <c r="I8" s="4">
        <v>31</v>
      </c>
    </row>
    <row r="9" spans="1:11" ht="14" thickBot="1" x14ac:dyDescent="0.2">
      <c r="A9" s="32" t="s">
        <v>17</v>
      </c>
      <c r="B9" s="48">
        <v>10</v>
      </c>
      <c r="C9" s="49">
        <v>8</v>
      </c>
      <c r="D9" s="49">
        <v>14</v>
      </c>
      <c r="E9" s="49">
        <v>6</v>
      </c>
      <c r="F9" s="49">
        <v>7</v>
      </c>
      <c r="G9" s="49">
        <v>11</v>
      </c>
      <c r="H9" s="12"/>
      <c r="I9" s="6"/>
    </row>
    <row r="10" spans="1:11" ht="5.25" customHeight="1" x14ac:dyDescent="0.15">
      <c r="A10" s="2"/>
    </row>
    <row r="11" spans="1:11" ht="14" thickBot="1" x14ac:dyDescent="0.2">
      <c r="A11" s="1" t="s">
        <v>18</v>
      </c>
    </row>
    <row r="12" spans="1:11" ht="14" x14ac:dyDescent="0.15">
      <c r="A12" s="14"/>
      <c r="B12" s="50" t="s">
        <v>19</v>
      </c>
      <c r="C12" s="51"/>
      <c r="D12" s="51"/>
      <c r="E12" s="51"/>
      <c r="F12" s="51"/>
      <c r="G12" s="52"/>
      <c r="H12" s="17" t="s">
        <v>20</v>
      </c>
    </row>
    <row r="13" spans="1:11" x14ac:dyDescent="0.15">
      <c r="A13" s="15" t="s">
        <v>4</v>
      </c>
      <c r="B13" s="13" t="s">
        <v>5</v>
      </c>
      <c r="C13" s="11" t="s">
        <v>6</v>
      </c>
      <c r="D13" s="11" t="s">
        <v>7</v>
      </c>
      <c r="E13" s="11" t="s">
        <v>8</v>
      </c>
      <c r="F13" s="11" t="s">
        <v>9</v>
      </c>
      <c r="G13" s="11" t="s">
        <v>10</v>
      </c>
      <c r="H13" s="18" t="s">
        <v>21</v>
      </c>
    </row>
    <row r="14" spans="1:11" x14ac:dyDescent="0.15">
      <c r="A14" s="9" t="s">
        <v>12</v>
      </c>
      <c r="B14" s="46"/>
      <c r="C14" s="46"/>
      <c r="D14" s="46"/>
      <c r="E14" s="46"/>
      <c r="F14" s="46"/>
      <c r="G14" s="46"/>
      <c r="H14" s="47"/>
      <c r="K14" s="55" t="s">
        <v>28</v>
      </c>
    </row>
    <row r="15" spans="1:11" x14ac:dyDescent="0.15">
      <c r="A15" s="3" t="s">
        <v>13</v>
      </c>
      <c r="B15" s="46"/>
      <c r="C15" s="46"/>
      <c r="D15" s="46"/>
      <c r="E15" s="46"/>
      <c r="F15" s="46"/>
      <c r="G15" s="46"/>
      <c r="H15" s="47"/>
    </row>
    <row r="16" spans="1:11" x14ac:dyDescent="0.15">
      <c r="A16" s="3" t="s">
        <v>14</v>
      </c>
      <c r="B16" s="46"/>
      <c r="C16" s="46"/>
      <c r="D16" s="46"/>
      <c r="E16" s="46"/>
      <c r="F16" s="46"/>
      <c r="G16" s="46"/>
      <c r="H16" s="47"/>
    </row>
    <row r="17" spans="1:8" x14ac:dyDescent="0.15">
      <c r="A17" s="3" t="s">
        <v>15</v>
      </c>
      <c r="B17" s="46"/>
      <c r="C17" s="46"/>
      <c r="D17" s="46"/>
      <c r="E17" s="46"/>
      <c r="F17" s="46"/>
      <c r="G17" s="46"/>
      <c r="H17" s="47"/>
    </row>
    <row r="18" spans="1:8" ht="18" customHeight="1" thickBot="1" x14ac:dyDescent="0.2">
      <c r="A18" s="5" t="s">
        <v>16</v>
      </c>
      <c r="B18" s="46"/>
      <c r="C18" s="46"/>
      <c r="D18" s="46"/>
      <c r="E18" s="46"/>
      <c r="F18" s="46"/>
      <c r="G18" s="46"/>
      <c r="H18" s="47"/>
    </row>
    <row r="19" spans="1:8" ht="18" customHeight="1" x14ac:dyDescent="0.15"/>
    <row r="20" spans="1:8" ht="18" customHeight="1" thickBot="1" x14ac:dyDescent="0.2">
      <c r="A20" s="1" t="s">
        <v>27</v>
      </c>
    </row>
    <row r="21" spans="1:8" ht="17" customHeight="1" x14ac:dyDescent="0.15">
      <c r="A21" s="14"/>
      <c r="B21" s="50" t="s">
        <v>19</v>
      </c>
      <c r="C21" s="53"/>
      <c r="D21" s="53"/>
      <c r="E21" s="53"/>
      <c r="F21" s="53"/>
      <c r="G21" s="54"/>
    </row>
    <row r="22" spans="1:8" ht="17" customHeight="1" x14ac:dyDescent="0.15">
      <c r="A22" s="15" t="s">
        <v>4</v>
      </c>
      <c r="B22" s="13" t="s">
        <v>5</v>
      </c>
      <c r="C22" s="11" t="s">
        <v>6</v>
      </c>
      <c r="D22" s="11" t="s">
        <v>7</v>
      </c>
      <c r="E22" s="11" t="s">
        <v>8</v>
      </c>
      <c r="F22" s="11" t="s">
        <v>9</v>
      </c>
      <c r="G22" s="43" t="s">
        <v>10</v>
      </c>
    </row>
    <row r="23" spans="1:8" ht="17" customHeight="1" x14ac:dyDescent="0.15">
      <c r="A23" s="9" t="s">
        <v>12</v>
      </c>
      <c r="B23" s="44">
        <f>B14*B$9</f>
        <v>0</v>
      </c>
      <c r="C23" s="44">
        <f t="shared" ref="C23:G27" si="0">C14*C$9</f>
        <v>0</v>
      </c>
      <c r="D23" s="44">
        <f t="shared" si="0"/>
        <v>0</v>
      </c>
      <c r="E23" s="45">
        <f t="shared" si="0"/>
        <v>0</v>
      </c>
      <c r="F23" s="45">
        <f>F14*F$9</f>
        <v>0</v>
      </c>
      <c r="G23" s="45">
        <f>G14*G$9</f>
        <v>0</v>
      </c>
    </row>
    <row r="24" spans="1:8" ht="17" customHeight="1" x14ac:dyDescent="0.15">
      <c r="A24" s="3" t="s">
        <v>13</v>
      </c>
      <c r="B24" s="44">
        <f>B15*B$9</f>
        <v>0</v>
      </c>
      <c r="C24" s="44">
        <f t="shared" si="0"/>
        <v>0</v>
      </c>
      <c r="D24" s="44">
        <f t="shared" si="0"/>
        <v>0</v>
      </c>
      <c r="E24" s="44">
        <f t="shared" si="0"/>
        <v>0</v>
      </c>
      <c r="F24" s="44">
        <f t="shared" si="0"/>
        <v>0</v>
      </c>
      <c r="G24" s="44">
        <f t="shared" si="0"/>
        <v>0</v>
      </c>
    </row>
    <row r="25" spans="1:8" ht="17" customHeight="1" x14ac:dyDescent="0.15">
      <c r="A25" s="3" t="s">
        <v>14</v>
      </c>
      <c r="B25" s="44">
        <f t="shared" ref="B24:B27" si="1">B16*B$9</f>
        <v>0</v>
      </c>
      <c r="C25" s="45">
        <f t="shared" si="0"/>
        <v>0</v>
      </c>
      <c r="D25" s="45">
        <f t="shared" si="0"/>
        <v>0</v>
      </c>
      <c r="E25" s="44">
        <f t="shared" si="0"/>
        <v>0</v>
      </c>
      <c r="F25" s="44">
        <f t="shared" si="0"/>
        <v>0</v>
      </c>
      <c r="G25" s="44">
        <f t="shared" si="0"/>
        <v>0</v>
      </c>
    </row>
    <row r="26" spans="1:8" ht="17" customHeight="1" x14ac:dyDescent="0.15">
      <c r="A26" s="3" t="s">
        <v>15</v>
      </c>
      <c r="B26" s="44">
        <f>B17*B$9</f>
        <v>0</v>
      </c>
      <c r="C26" s="44">
        <f t="shared" si="0"/>
        <v>0</v>
      </c>
      <c r="D26" s="44">
        <f t="shared" si="0"/>
        <v>0</v>
      </c>
      <c r="E26" s="45">
        <f t="shared" si="0"/>
        <v>0</v>
      </c>
      <c r="F26" s="45">
        <f t="shared" si="0"/>
        <v>0</v>
      </c>
      <c r="G26" s="45">
        <f t="shared" si="0"/>
        <v>0</v>
      </c>
    </row>
    <row r="27" spans="1:8" ht="17" customHeight="1" thickBot="1" x14ac:dyDescent="0.2">
      <c r="A27" s="5" t="s">
        <v>16</v>
      </c>
      <c r="B27" s="44">
        <f t="shared" si="1"/>
        <v>0</v>
      </c>
      <c r="C27" s="44">
        <f t="shared" si="0"/>
        <v>0</v>
      </c>
      <c r="D27" s="44">
        <f t="shared" si="0"/>
        <v>0</v>
      </c>
      <c r="E27" s="45">
        <f t="shared" si="0"/>
        <v>0</v>
      </c>
      <c r="F27" s="45">
        <f t="shared" si="0"/>
        <v>0</v>
      </c>
      <c r="G27" s="45">
        <f>G18*G$9</f>
        <v>0</v>
      </c>
    </row>
    <row r="28" spans="1:8" ht="17" customHeight="1" x14ac:dyDescent="0.15"/>
    <row r="29" spans="1:8" ht="18" customHeight="1" thickBot="1" x14ac:dyDescent="0.2">
      <c r="A29" s="1" t="s">
        <v>22</v>
      </c>
      <c r="E29" s="38"/>
      <c r="F29" s="38"/>
      <c r="G29" s="38"/>
    </row>
    <row r="30" spans="1:8" x14ac:dyDescent="0.15">
      <c r="A30" s="20" t="s">
        <v>4</v>
      </c>
      <c r="B30" s="21" t="s">
        <v>23</v>
      </c>
      <c r="C30" s="7"/>
      <c r="D30" s="7"/>
      <c r="E30" s="7"/>
      <c r="F30" s="7"/>
      <c r="G30" s="8"/>
    </row>
    <row r="31" spans="1:8" x14ac:dyDescent="0.15">
      <c r="A31" s="3" t="s">
        <v>12</v>
      </c>
      <c r="B31" s="56"/>
      <c r="G31" s="4"/>
    </row>
    <row r="32" spans="1:8" x14ac:dyDescent="0.15">
      <c r="A32" s="3" t="s">
        <v>13</v>
      </c>
      <c r="B32" s="56"/>
      <c r="G32" s="4"/>
    </row>
    <row r="33" spans="1:7" x14ac:dyDescent="0.15">
      <c r="A33" s="3" t="s">
        <v>14</v>
      </c>
      <c r="B33" s="56"/>
      <c r="G33" s="4"/>
    </row>
    <row r="34" spans="1:7" x14ac:dyDescent="0.15">
      <c r="A34" s="3" t="s">
        <v>15</v>
      </c>
      <c r="B34" s="56"/>
      <c r="G34" s="4"/>
    </row>
    <row r="35" spans="1:7" x14ac:dyDescent="0.15">
      <c r="A35" s="3" t="s">
        <v>16</v>
      </c>
      <c r="B35" s="56"/>
      <c r="G35" s="4"/>
    </row>
    <row r="36" spans="1:7" ht="1.5" customHeight="1" x14ac:dyDescent="0.15">
      <c r="A36" s="3"/>
      <c r="B36" s="56">
        <f t="shared" ref="B32:B36" si="2">I9*H19-SUMPRODUCT(B19:G19,B$9:G$9)</f>
        <v>0</v>
      </c>
      <c r="G36" s="4"/>
    </row>
    <row r="37" spans="1:7" x14ac:dyDescent="0.15">
      <c r="A37" s="3"/>
      <c r="B37" s="13" t="s">
        <v>5</v>
      </c>
      <c r="C37" s="19" t="s">
        <v>6</v>
      </c>
      <c r="D37" s="19" t="s">
        <v>7</v>
      </c>
      <c r="E37" s="19" t="s">
        <v>8</v>
      </c>
      <c r="F37" s="19" t="s">
        <v>9</v>
      </c>
      <c r="G37" s="22" t="s">
        <v>10</v>
      </c>
    </row>
    <row r="38" spans="1:7" ht="14" thickBot="1" x14ac:dyDescent="0.2">
      <c r="A38" s="32" t="s">
        <v>24</v>
      </c>
      <c r="B38" s="33"/>
      <c r="C38" s="33"/>
      <c r="D38" s="33"/>
      <c r="E38" s="33"/>
      <c r="F38" s="33"/>
      <c r="G38" s="33"/>
    </row>
    <row r="39" spans="1:7" ht="3" customHeight="1" x14ac:dyDescent="0.15"/>
    <row r="40" spans="1:7" ht="14" thickBot="1" x14ac:dyDescent="0.2">
      <c r="A40" s="1" t="s">
        <v>25</v>
      </c>
    </row>
    <row r="41" spans="1:7" ht="14" thickBot="1" x14ac:dyDescent="0.2">
      <c r="A41" s="41" t="s">
        <v>26</v>
      </c>
      <c r="B41" s="31"/>
      <c r="D41" s="38"/>
      <c r="G41" s="39"/>
    </row>
    <row r="42" spans="1:7" x14ac:dyDescent="0.15">
      <c r="A42" s="38"/>
      <c r="G42" s="37"/>
    </row>
    <row r="47" spans="1:7" x14ac:dyDescent="0.15">
      <c r="A47" s="1"/>
    </row>
    <row r="48" spans="1:7" x14ac:dyDescent="0.15">
      <c r="A48" s="36"/>
    </row>
    <row r="49" spans="1:2" ht="14" x14ac:dyDescent="0.15">
      <c r="A49" s="35"/>
      <c r="B49" s="34"/>
    </row>
    <row r="50" spans="1:2" ht="14" x14ac:dyDescent="0.15">
      <c r="A50" s="35"/>
      <c r="B50" s="34"/>
    </row>
    <row r="51" spans="1:2" ht="14" x14ac:dyDescent="0.15">
      <c r="A51" s="35"/>
      <c r="B51" s="34"/>
    </row>
    <row r="52" spans="1:2" ht="14" x14ac:dyDescent="0.15">
      <c r="A52" s="35"/>
      <c r="B52" s="34"/>
    </row>
    <row r="53" spans="1:2" ht="14" x14ac:dyDescent="0.15">
      <c r="A53" s="35"/>
      <c r="B53" s="34"/>
    </row>
    <row r="54" spans="1:2" ht="14" x14ac:dyDescent="0.15">
      <c r="A54" s="35"/>
      <c r="B54" s="34"/>
    </row>
    <row r="55" spans="1:2" ht="12.75" customHeight="1" x14ac:dyDescent="0.15">
      <c r="A55" s="35"/>
      <c r="B55" s="34"/>
    </row>
    <row r="57" spans="1:2" x14ac:dyDescent="0.15">
      <c r="A57" s="36"/>
    </row>
    <row r="58" spans="1:2" ht="14" x14ac:dyDescent="0.15">
      <c r="A58" s="35"/>
      <c r="B58" s="34"/>
    </row>
    <row r="59" spans="1:2" ht="14" x14ac:dyDescent="0.15">
      <c r="A59" s="35"/>
      <c r="B59" s="34"/>
    </row>
    <row r="61" spans="1:2" x14ac:dyDescent="0.15">
      <c r="A61" s="36"/>
    </row>
  </sheetData>
  <mergeCells count="3">
    <mergeCell ref="B2:G2"/>
    <mergeCell ref="B12:G12"/>
    <mergeCell ref="B21:G21"/>
  </mergeCells>
  <phoneticPr fontId="0" type="noConversion"/>
  <pageMargins left="0.75" right="0.75" top="1" bottom="1" header="0.5" footer="0.5"/>
  <pageSetup scale="95" orientation="portrait" horizontalDpi="4294967292" r:id="rId1"/>
  <headerFooter alignWithMargins="0">
    <oddHeader>&amp;C&amp;A</oddHeader>
  </headerFooter>
  <rowBreaks count="1" manualBreakCount="1">
    <brk id="46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7512dc9-2fd2-42d8-b770-d89700c70ea3" xsi:nil="true"/>
    <lcf76f155ced4ddcb4097134ff3c332f xmlns="a5937f9d-7e65-4acd-81f8-ebbf17220de2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5BE2E2668F19C41B4D65B3E5A8A5941" ma:contentTypeVersion="11" ma:contentTypeDescription="Crée un document." ma:contentTypeScope="" ma:versionID="7e95f615bbc9302d793f16d5b0e9e329">
  <xsd:schema xmlns:xsd="http://www.w3.org/2001/XMLSchema" xmlns:xs="http://www.w3.org/2001/XMLSchema" xmlns:p="http://schemas.microsoft.com/office/2006/metadata/properties" xmlns:ns2="a5937f9d-7e65-4acd-81f8-ebbf17220de2" xmlns:ns3="07512dc9-2fd2-42d8-b770-d89700c70ea3" targetNamespace="http://schemas.microsoft.com/office/2006/metadata/properties" ma:root="true" ma:fieldsID="3639192e07a0932f28ce6125fd1f849d" ns2:_="" ns3:_="">
    <xsd:import namespace="a5937f9d-7e65-4acd-81f8-ebbf17220de2"/>
    <xsd:import namespace="07512dc9-2fd2-42d8-b770-d89700c70ea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5937f9d-7e65-4acd-81f8-ebbf17220de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Balises d’images" ma:readOnly="false" ma:fieldId="{5cf76f15-5ced-4ddc-b409-7134ff3c332f}" ma:taxonomyMulti="true" ma:sspId="a574ef16-3a30-4beb-bd52-58ad4342100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7512dc9-2fd2-42d8-b770-d89700c70ea3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8c54c7e-2104-41a9-bfbc-2836e1414a9c}" ma:internalName="TaxCatchAll" ma:showField="CatchAllData" ma:web="07512dc9-2fd2-42d8-b770-d89700c70ea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CE27A91-884F-4C46-A56D-FC63D6A33837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32B60EEE-4806-4BFE-8486-40B9FCB25B94}"/>
</file>

<file path=customXml/itemProps3.xml><?xml version="1.0" encoding="utf-8"?>
<ds:datastoreItem xmlns:ds="http://schemas.openxmlformats.org/officeDocument/2006/customXml" ds:itemID="{600955F5-FE44-4A23-95D2-B0826EFA460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Manager/>
  <Company>Kellogg Graduate School of Management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Sunil Chopra</dc:creator>
  <cp:keywords/>
  <dc:description/>
  <cp:lastModifiedBy>Tadayonrad Yasin</cp:lastModifiedBy>
  <cp:revision/>
  <dcterms:created xsi:type="dcterms:W3CDTF">1999-02-07T23:04:46Z</dcterms:created>
  <dcterms:modified xsi:type="dcterms:W3CDTF">2024-10-29T14:15:00Z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0x010100E5BE2E2668F19C41B4D65B3E5A8A5941</vt:lpwstr>
  </property>
</Properties>
</file>