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versitelibrebruxelles-my.sharepoint.com/personal/raphael_humblet_ulb_be/Documents/ULB/MA2/ULB-GEST-H501/Exercices/Block 6/Virgin files/"/>
    </mc:Choice>
  </mc:AlternateContent>
  <xr:revisionPtr revIDLastSave="40653" documentId="13_ncr:1_{8BC6D7F1-232C-1549-B2BD-F4B4D2DC9B83}" xr6:coauthVersionLast="47" xr6:coauthVersionMax="47" xr10:uidLastSave="{F8ABF6E9-E45C-4838-84EB-352016FEFDD8}"/>
  <bookViews>
    <workbookView xWindow="-98" yWindow="-98" windowWidth="23236" windowHeight="13875" firstSheet="2" activeTab="4" xr2:uid="{00000000-000D-0000-FFFF-FFFF00000000}"/>
  </bookViews>
  <sheets>
    <sheet name="HighOptic" sheetId="3" r:id="rId1"/>
    <sheet name="TelecomOne" sheetId="6" r:id="rId2"/>
    <sheet name="Capacitated Plant Location" sheetId="7" r:id="rId3"/>
    <sheet name="Single-sourcing" sheetId="9" r:id="rId4"/>
    <sheet name="Optimal - Capacitated plant loc" sheetId="8" r:id="rId5"/>
  </sheets>
  <definedNames>
    <definedName name="solver_adj" localSheetId="2" hidden="1">'Capacitated Plant Location'!$B$14:$G$18</definedName>
    <definedName name="solver_adj" localSheetId="0" hidden="1">HighOptic!$E$15:$G$16</definedName>
    <definedName name="solver_adj" localSheetId="4" hidden="1">'Optimal - Capacitated plant loc'!$B$14:$H$18</definedName>
    <definedName name="solver_adj" localSheetId="3" hidden="1">'Single-sourcing'!$B$14:$H$18</definedName>
    <definedName name="solver_adj" localSheetId="1" hidden="1">TelecomOne!$B$14:$D$14,TelecomOne!$B$17:$D$18</definedName>
    <definedName name="solver_cvg" localSheetId="2" hidden="1">0.001</definedName>
    <definedName name="solver_cvg" localSheetId="0" hidden="1">0.001</definedName>
    <definedName name="solver_cvg" localSheetId="4" hidden="1">0.001</definedName>
    <definedName name="solver_cvg" localSheetId="3" hidden="1">0.00001</definedName>
    <definedName name="solver_cvg" localSheetId="1" hidden="1">0.001</definedName>
    <definedName name="solver_drv" localSheetId="2" hidden="1">1</definedName>
    <definedName name="solver_drv" localSheetId="0" hidden="1">1</definedName>
    <definedName name="solver_drv" localSheetId="4" hidden="1">1</definedName>
    <definedName name="solver_drv" localSheetId="3" hidden="1">1</definedName>
    <definedName name="solver_drv" localSheetId="1" hidden="1">1</definedName>
    <definedName name="solver_dua" localSheetId="2" hidden="1">1</definedName>
    <definedName name="solver_dua" localSheetId="0" hidden="1">1</definedName>
    <definedName name="solver_dua" localSheetId="4" hidden="1">1</definedName>
    <definedName name="solver_dua" localSheetId="3" hidden="1">1</definedName>
    <definedName name="solver_dua" localSheetId="1" hidden="1">1</definedName>
    <definedName name="solver_eng" localSheetId="2" hidden="1">1</definedName>
    <definedName name="solver_eng" localSheetId="0" hidden="1">1</definedName>
    <definedName name="solver_eng" localSheetId="4" hidden="1">1</definedName>
    <definedName name="solver_eng" localSheetId="3" hidden="1">1</definedName>
    <definedName name="solver_eng" localSheetId="1" hidden="1">1</definedName>
    <definedName name="solver_est" localSheetId="2" hidden="1">1</definedName>
    <definedName name="solver_est" localSheetId="0" hidden="1">1</definedName>
    <definedName name="solver_est" localSheetId="4" hidden="1">1</definedName>
    <definedName name="solver_est" localSheetId="3" hidden="1">1</definedName>
    <definedName name="solver_est" localSheetId="1" hidden="1">1</definedName>
    <definedName name="solver_ibd" localSheetId="2" hidden="1">2</definedName>
    <definedName name="solver_ibd" localSheetId="0" hidden="1">2</definedName>
    <definedName name="solver_ibd" localSheetId="4" hidden="1">2</definedName>
    <definedName name="solver_ibd" localSheetId="3" hidden="1">2</definedName>
    <definedName name="solver_ibd" localSheetId="1" hidden="1">2</definedName>
    <definedName name="solver_itr" localSheetId="2" hidden="1">100</definedName>
    <definedName name="solver_itr" localSheetId="0" hidden="1">100</definedName>
    <definedName name="solver_itr" localSheetId="4" hidden="1">100</definedName>
    <definedName name="solver_itr" localSheetId="3" hidden="1">100</definedName>
    <definedName name="solver_itr" localSheetId="1" hidden="1">100</definedName>
    <definedName name="solver_lhs1" localSheetId="2" hidden="1">'Capacitated Plant Location'!$B$14:$G$18</definedName>
    <definedName name="solver_lhs1" localSheetId="0" hidden="1">HighOptic!$B$23</definedName>
    <definedName name="solver_lhs1" localSheetId="4" hidden="1">'Optimal - Capacitated plant loc'!$B$14:$G$18</definedName>
    <definedName name="solver_lhs1" localSheetId="3" hidden="1">'Single-sourcing'!$B$14:$H$18</definedName>
    <definedName name="solver_lhs1" localSheetId="1" hidden="1">TelecomOne!$B$14:$D$14</definedName>
    <definedName name="solver_lhs2" localSheetId="2" hidden="1">'Capacitated Plant Location'!$B$22:$B$26</definedName>
    <definedName name="solver_lhs2" localSheetId="0" hidden="1">HighOptic!$B$24</definedName>
    <definedName name="solver_lhs2" localSheetId="4" hidden="1">'Optimal - Capacitated plant loc'!$B$22:$B$26</definedName>
    <definedName name="solver_lhs2" localSheetId="3" hidden="1">'Single-sourcing'!$B$31:$B$35</definedName>
    <definedName name="solver_lhs2" localSheetId="1" hidden="1">TelecomOne!$B$17:$D$18</definedName>
    <definedName name="solver_lhs3" localSheetId="2" hidden="1">'Capacitated Plant Location'!$B$29:$G$29</definedName>
    <definedName name="solver_lhs3" localSheetId="0" hidden="1">HighOptic!$E$15:$G$16</definedName>
    <definedName name="solver_lhs3" localSheetId="4" hidden="1">'Optimal - Capacitated plant loc'!$B$29:$G$29</definedName>
    <definedName name="solver_lhs3" localSheetId="3" hidden="1">'Single-sourcing'!$B$38:$G$38</definedName>
    <definedName name="solver_lhs3" localSheetId="1" hidden="1">TelecomOne!$B$22</definedName>
    <definedName name="solver_lhs4" localSheetId="2" hidden="1">'Capacitated Plant Location'!$B$14:$G$18</definedName>
    <definedName name="solver_lhs4" localSheetId="0" hidden="1">HighOptic!$E$29:$G$29</definedName>
    <definedName name="solver_lhs4" localSheetId="4" hidden="1">'Optimal - Capacitated plant loc'!$H$14</definedName>
    <definedName name="solver_lhs4" localSheetId="3" hidden="1">'Single-sourcing'!$B$14:$H$18</definedName>
    <definedName name="solver_lhs4" localSheetId="1" hidden="1">TelecomOne!$B$25</definedName>
    <definedName name="solver_lhs5" localSheetId="2" hidden="1">'Capacitated Plant Location'!$B$22:$B$26</definedName>
    <definedName name="solver_lhs5" localSheetId="0" hidden="1">HighOptic!$B$24</definedName>
    <definedName name="solver_lhs5" localSheetId="4" hidden="1">'Optimal - Capacitated plant loc'!$H$14:$H$18</definedName>
    <definedName name="solver_lhs5" localSheetId="3" hidden="1">'Single-sourcing'!$B$31:$B$35</definedName>
    <definedName name="solver_lhs5" localSheetId="1" hidden="1">TelecomOne!$B$26</definedName>
    <definedName name="solver_lhs6" localSheetId="2" hidden="1">'Capacitated Plant Location'!$B$25</definedName>
    <definedName name="solver_lhs6" localSheetId="0" hidden="1">HighOptic!$E$29:$G$29</definedName>
    <definedName name="solver_lhs6" localSheetId="4" hidden="1">'Optimal - Capacitated plant loc'!$B$25</definedName>
    <definedName name="solver_lhs6" localSheetId="3" hidden="1">'Single-sourcing'!$B$34</definedName>
    <definedName name="solver_lhs6" localSheetId="1" hidden="1">TelecomOne!$B$29:$D$29</definedName>
    <definedName name="solver_lhs7" localSheetId="2" hidden="1">'Capacitated Plant Location'!$B$26</definedName>
    <definedName name="solver_lhs7" localSheetId="4" hidden="1">'Optimal - Capacitated plant loc'!$B$26</definedName>
    <definedName name="solver_lhs7" localSheetId="3" hidden="1">'Single-sourcing'!$B$35</definedName>
    <definedName name="solver_lhs7" localSheetId="1" hidden="1">TelecomOne!$B$26</definedName>
    <definedName name="solver_lin" localSheetId="2" hidden="1">2</definedName>
    <definedName name="solver_lin" localSheetId="0" hidden="1">2</definedName>
    <definedName name="solver_lin" localSheetId="4" hidden="1">2</definedName>
    <definedName name="solver_lin" localSheetId="3" hidden="1">2</definedName>
    <definedName name="solver_lin" localSheetId="1" hidden="1">2</definedName>
    <definedName name="solver_lva" localSheetId="2" hidden="1">2</definedName>
    <definedName name="solver_lva" localSheetId="0" hidden="1">2</definedName>
    <definedName name="solver_lva" localSheetId="4" hidden="1">2</definedName>
    <definedName name="solver_lva" localSheetId="3" hidden="1">2</definedName>
    <definedName name="solver_lva" localSheetId="1" hidden="1">2</definedName>
    <definedName name="solver_mip" localSheetId="2" hidden="1">1000</definedName>
    <definedName name="solver_mip" localSheetId="0" hidden="1">1000</definedName>
    <definedName name="solver_mip" localSheetId="4" hidden="1">1000</definedName>
    <definedName name="solver_mip" localSheetId="3" hidden="1">1000</definedName>
    <definedName name="solver_mip" localSheetId="1" hidden="1">1000</definedName>
    <definedName name="solver_mni" localSheetId="0" hidden="1">30</definedName>
    <definedName name="solver_mni" localSheetId="4" hidden="1">30</definedName>
    <definedName name="solver_mni" localSheetId="3" hidden="1">30</definedName>
    <definedName name="solver_mni" localSheetId="1" hidden="1">30</definedName>
    <definedName name="solver_mrt" localSheetId="0" hidden="1">0.075</definedName>
    <definedName name="solver_mrt" localSheetId="4" hidden="1">0.075</definedName>
    <definedName name="solver_mrt" localSheetId="3" hidden="1">0.075</definedName>
    <definedName name="solver_mrt" localSheetId="1" hidden="1">0.075</definedName>
    <definedName name="solver_msl" localSheetId="2" hidden="1">2</definedName>
    <definedName name="solver_msl" localSheetId="0" hidden="1">2</definedName>
    <definedName name="solver_msl" localSheetId="4" hidden="1">2</definedName>
    <definedName name="solver_msl" localSheetId="3" hidden="1">2</definedName>
    <definedName name="solver_msl" localSheetId="1" hidden="1">2</definedName>
    <definedName name="solver_neg" localSheetId="2" hidden="1">2</definedName>
    <definedName name="solver_neg" localSheetId="0" hidden="1">2</definedName>
    <definedName name="solver_neg" localSheetId="4" hidden="1">2</definedName>
    <definedName name="solver_neg" localSheetId="3" hidden="1">2</definedName>
    <definedName name="solver_neg" localSheetId="1" hidden="1">2</definedName>
    <definedName name="solver_nod" localSheetId="2" hidden="1">1000</definedName>
    <definedName name="solver_nod" localSheetId="0" hidden="1">1000</definedName>
    <definedName name="solver_nod" localSheetId="4" hidden="1">1000</definedName>
    <definedName name="solver_nod" localSheetId="3" hidden="1">1000</definedName>
    <definedName name="solver_nod" localSheetId="1" hidden="1">1000</definedName>
    <definedName name="solver_num" localSheetId="2" hidden="1">3</definedName>
    <definedName name="solver_num" localSheetId="0" hidden="1">4</definedName>
    <definedName name="solver_num" localSheetId="4" hidden="1">5</definedName>
    <definedName name="solver_num" localSheetId="3" hidden="1">3</definedName>
    <definedName name="solver_num" localSheetId="1" hidden="1">6</definedName>
    <definedName name="solver_nwt" localSheetId="2" hidden="1">1</definedName>
    <definedName name="solver_nwt" localSheetId="0" hidden="1">1</definedName>
    <definedName name="solver_nwt" localSheetId="4" hidden="1">1</definedName>
    <definedName name="solver_nwt" localSheetId="3" hidden="1">1</definedName>
    <definedName name="solver_nwt" localSheetId="1" hidden="1">1</definedName>
    <definedName name="solver_ofx" localSheetId="2" hidden="1">2</definedName>
    <definedName name="solver_ofx" localSheetId="0" hidden="1">2</definedName>
    <definedName name="solver_ofx" localSheetId="4" hidden="1">2</definedName>
    <definedName name="solver_ofx" localSheetId="3" hidden="1">2</definedName>
    <definedName name="solver_ofx" localSheetId="1" hidden="1">2</definedName>
    <definedName name="solver_opt" localSheetId="2" hidden="1">'Capacitated Plant Location'!$B$32</definedName>
    <definedName name="solver_opt" localSheetId="0" hidden="1">HighOptic!$B$32</definedName>
    <definedName name="solver_opt" localSheetId="4" hidden="1">'Optimal - Capacitated plant loc'!$B$32</definedName>
    <definedName name="solver_opt" localSheetId="3" hidden="1">'Single-sourcing'!$B$41</definedName>
    <definedName name="solver_opt" localSheetId="1" hidden="1">TelecomOne!$B$32</definedName>
    <definedName name="solver_pre" localSheetId="2" hidden="1">0.000001</definedName>
    <definedName name="solver_pre" localSheetId="0" hidden="1">0.000001</definedName>
    <definedName name="solver_pre" localSheetId="4" hidden="1">0.000001</definedName>
    <definedName name="solver_pre" localSheetId="3" hidden="1">0.00000001</definedName>
    <definedName name="solver_pre" localSheetId="1" hidden="1">0.000001</definedName>
    <definedName name="solver_pro" localSheetId="2" hidden="1">2</definedName>
    <definedName name="solver_pro" localSheetId="0" hidden="1">2</definedName>
    <definedName name="solver_pro" localSheetId="4" hidden="1">2</definedName>
    <definedName name="solver_pro" localSheetId="3" hidden="1">2</definedName>
    <definedName name="solver_pro" localSheetId="1" hidden="1">2</definedName>
    <definedName name="solver_rbv" localSheetId="2" hidden="1">1</definedName>
    <definedName name="solver_rbv" localSheetId="0" hidden="1">1</definedName>
    <definedName name="solver_rbv" localSheetId="4" hidden="1">1</definedName>
    <definedName name="solver_rbv" localSheetId="3" hidden="1">1</definedName>
    <definedName name="solver_rbv" localSheetId="1" hidden="1">1</definedName>
    <definedName name="solver_rel1" localSheetId="2" hidden="1">3</definedName>
    <definedName name="solver_rel1" localSheetId="0" hidden="1">3</definedName>
    <definedName name="solver_rel1" localSheetId="4" hidden="1">3</definedName>
    <definedName name="solver_rel1" localSheetId="3" hidden="1">5</definedName>
    <definedName name="solver_rel1" localSheetId="1" hidden="1">3</definedName>
    <definedName name="solver_rel2" localSheetId="2" hidden="1">3</definedName>
    <definedName name="solver_rel2" localSheetId="0" hidden="1">3</definedName>
    <definedName name="solver_rel2" localSheetId="4" hidden="1">3</definedName>
    <definedName name="solver_rel2" localSheetId="3" hidden="1">3</definedName>
    <definedName name="solver_rel2" localSheetId="1" hidden="1">3</definedName>
    <definedName name="solver_rel3" localSheetId="2" hidden="1">2</definedName>
    <definedName name="solver_rel3" localSheetId="0" hidden="1">3</definedName>
    <definedName name="solver_rel3" localSheetId="4" hidden="1">2</definedName>
    <definedName name="solver_rel3" localSheetId="3" hidden="1">2</definedName>
    <definedName name="solver_rel3" localSheetId="1" hidden="1">3</definedName>
    <definedName name="solver_rel4" localSheetId="2" hidden="1">3</definedName>
    <definedName name="solver_rel4" localSheetId="0" hidden="1">2</definedName>
    <definedName name="solver_rel4" localSheetId="4" hidden="1">2</definedName>
    <definedName name="solver_rel4" localSheetId="3" hidden="1">5</definedName>
    <definedName name="solver_rel4" localSheetId="1" hidden="1">3</definedName>
    <definedName name="solver_rel5" localSheetId="2" hidden="1">3</definedName>
    <definedName name="solver_rel5" localSheetId="0" hidden="1">3</definedName>
    <definedName name="solver_rel5" localSheetId="4" hidden="1">5</definedName>
    <definedName name="solver_rel5" localSheetId="3" hidden="1">3</definedName>
    <definedName name="solver_rel5" localSheetId="1" hidden="1">3</definedName>
    <definedName name="solver_rel6" localSheetId="2" hidden="1">3</definedName>
    <definedName name="solver_rel6" localSheetId="0" hidden="1">2</definedName>
    <definedName name="solver_rel6" localSheetId="4" hidden="1">3</definedName>
    <definedName name="solver_rel6" localSheetId="3" hidden="1">3</definedName>
    <definedName name="solver_rel6" localSheetId="1" hidden="1">2</definedName>
    <definedName name="solver_rel7" localSheetId="2" hidden="1">3</definedName>
    <definedName name="solver_rel7" localSheetId="4" hidden="1">3</definedName>
    <definedName name="solver_rel7" localSheetId="3" hidden="1">3</definedName>
    <definedName name="solver_rel7" localSheetId="1" hidden="1">3</definedName>
    <definedName name="solver_reo" localSheetId="2" hidden="1">2</definedName>
    <definedName name="solver_reo" localSheetId="0" hidden="1">2</definedName>
    <definedName name="solver_reo" localSheetId="4" hidden="1">2</definedName>
    <definedName name="solver_reo" localSheetId="3" hidden="1">2</definedName>
    <definedName name="solver_reo" localSheetId="1" hidden="1">2</definedName>
    <definedName name="solver_rep" localSheetId="2" hidden="1">2</definedName>
    <definedName name="solver_rep" localSheetId="0" hidden="1">2</definedName>
    <definedName name="solver_rep" localSheetId="4" hidden="1">2</definedName>
    <definedName name="solver_rep" localSheetId="3" hidden="1">2</definedName>
    <definedName name="solver_rep" localSheetId="1" hidden="1">2</definedName>
    <definedName name="solver_rhs1" localSheetId="2" hidden="1">0</definedName>
    <definedName name="solver_rhs1" localSheetId="0" hidden="1">0</definedName>
    <definedName name="solver_rhs1" localSheetId="4" hidden="1">0</definedName>
    <definedName name="solver_rhs1" localSheetId="3" hidden="1">"binaire"</definedName>
    <definedName name="solver_rhs1" localSheetId="1" hidden="1">0</definedName>
    <definedName name="solver_rhs2" localSheetId="2" hidden="1">0</definedName>
    <definedName name="solver_rhs2" localSheetId="0" hidden="1">0</definedName>
    <definedName name="solver_rhs2" localSheetId="4" hidden="1">0</definedName>
    <definedName name="solver_rhs2" localSheetId="3" hidden="1">0</definedName>
    <definedName name="solver_rhs2" localSheetId="1" hidden="1">0</definedName>
    <definedName name="solver_rhs3" localSheetId="2" hidden="1">0</definedName>
    <definedName name="solver_rhs3" localSheetId="0" hidden="1">0</definedName>
    <definedName name="solver_rhs3" localSheetId="4" hidden="1">0</definedName>
    <definedName name="solver_rhs3" localSheetId="3" hidden="1">1</definedName>
    <definedName name="solver_rhs3" localSheetId="1" hidden="1">0</definedName>
    <definedName name="solver_rhs4" localSheetId="2" hidden="1">0</definedName>
    <definedName name="solver_rhs4" localSheetId="0" hidden="1">0</definedName>
    <definedName name="solver_rhs4" localSheetId="4" hidden="1">1</definedName>
    <definedName name="solver_rhs4" localSheetId="3" hidden="1">binary</definedName>
    <definedName name="solver_rhs4" localSheetId="1" hidden="1">0</definedName>
    <definedName name="solver_rhs5" localSheetId="2" hidden="1">0</definedName>
    <definedName name="solver_rhs5" localSheetId="0" hidden="1">0</definedName>
    <definedName name="solver_rhs5" localSheetId="4" hidden="1">"binaire"</definedName>
    <definedName name="solver_rhs5" localSheetId="3" hidden="1">0</definedName>
    <definedName name="solver_rhs5" localSheetId="1" hidden="1">0</definedName>
    <definedName name="solver_rhs6" localSheetId="2" hidden="1">0</definedName>
    <definedName name="solver_rhs6" localSheetId="0" hidden="1">0</definedName>
    <definedName name="solver_rhs6" localSheetId="4" hidden="1">0</definedName>
    <definedName name="solver_rhs6" localSheetId="3" hidden="1">0</definedName>
    <definedName name="solver_rhs6" localSheetId="1" hidden="1">0</definedName>
    <definedName name="solver_rhs7" localSheetId="2" hidden="1">0</definedName>
    <definedName name="solver_rhs7" localSheetId="4" hidden="1">0</definedName>
    <definedName name="solver_rhs7" localSheetId="3" hidden="1">0</definedName>
    <definedName name="solver_rhs7" localSheetId="1" hidden="1">0</definedName>
    <definedName name="solver_rlx" localSheetId="2" hidden="1">2</definedName>
    <definedName name="solver_rlx" localSheetId="0" hidden="1">2</definedName>
    <definedName name="solver_rlx" localSheetId="4" hidden="1">2</definedName>
    <definedName name="solver_rlx" localSheetId="3" hidden="1">2</definedName>
    <definedName name="solver_rlx" localSheetId="1" hidden="1">2</definedName>
    <definedName name="solver_rsd" localSheetId="0" hidden="1">0</definedName>
    <definedName name="solver_rsd" localSheetId="4" hidden="1">0</definedName>
    <definedName name="solver_rsd" localSheetId="3" hidden="1">0</definedName>
    <definedName name="solver_rsd" localSheetId="1" hidden="1">0</definedName>
    <definedName name="solver_scl" localSheetId="2" hidden="1">2</definedName>
    <definedName name="solver_scl" localSheetId="0" hidden="1">2</definedName>
    <definedName name="solver_scl" localSheetId="4" hidden="1">2</definedName>
    <definedName name="solver_scl" localSheetId="3" hidden="1">2</definedName>
    <definedName name="solver_scl" localSheetId="1" hidden="1">2</definedName>
    <definedName name="solver_sho" localSheetId="2" hidden="1">2</definedName>
    <definedName name="solver_sho" localSheetId="0" hidden="1">2</definedName>
    <definedName name="solver_sho" localSheetId="4" hidden="1">2</definedName>
    <definedName name="solver_sho" localSheetId="3" hidden="1">2</definedName>
    <definedName name="solver_sho" localSheetId="1" hidden="1">2</definedName>
    <definedName name="solver_ssz" localSheetId="2" hidden="1">0</definedName>
    <definedName name="solver_ssz" localSheetId="0" hidden="1">0</definedName>
    <definedName name="solver_ssz" localSheetId="4" hidden="1">0</definedName>
    <definedName name="solver_ssz" localSheetId="3" hidden="1">0</definedName>
    <definedName name="solver_ssz" localSheetId="1" hidden="1">0</definedName>
    <definedName name="solver_tim" localSheetId="2" hidden="1">100</definedName>
    <definedName name="solver_tim" localSheetId="0" hidden="1">100</definedName>
    <definedName name="solver_tim" localSheetId="4" hidden="1">100</definedName>
    <definedName name="solver_tim" localSheetId="3" hidden="1">100</definedName>
    <definedName name="solver_tim" localSheetId="1" hidden="1">100</definedName>
    <definedName name="solver_tms" localSheetId="2" hidden="1">2</definedName>
    <definedName name="solver_tms" localSheetId="0" hidden="1">2</definedName>
    <definedName name="solver_tms" localSheetId="4" hidden="1">2</definedName>
    <definedName name="solver_tms" localSheetId="3" hidden="1">2</definedName>
    <definedName name="solver_tms" localSheetId="1" hidden="1">2</definedName>
    <definedName name="solver_tol" localSheetId="2" hidden="1">0.05</definedName>
    <definedName name="solver_tol" localSheetId="0" hidden="1">0.05</definedName>
    <definedName name="solver_tol" localSheetId="4" hidden="1">0.05</definedName>
    <definedName name="solver_tol" localSheetId="3" hidden="1">0.00000005</definedName>
    <definedName name="solver_tol" localSheetId="1" hidden="1">0.05</definedName>
    <definedName name="solver_typ" localSheetId="2" hidden="1">2</definedName>
    <definedName name="solver_typ" localSheetId="0" hidden="1">2</definedName>
    <definedName name="solver_typ" localSheetId="4" hidden="1">2</definedName>
    <definedName name="solver_typ" localSheetId="3" hidden="1">2</definedName>
    <definedName name="solver_typ" localSheetId="1" hidden="1">2</definedName>
    <definedName name="solver_val" localSheetId="2" hidden="1">0</definedName>
    <definedName name="solver_val" localSheetId="0" hidden="1">0</definedName>
    <definedName name="solver_val" localSheetId="4" hidden="1">0</definedName>
    <definedName name="solver_val" localSheetId="3" hidden="1">0</definedName>
    <definedName name="solver_val" localSheetId="1" hidden="1">0</definedName>
    <definedName name="solver_ver" localSheetId="2" hidden="1">3</definedName>
    <definedName name="solver_ver" localSheetId="0" hidden="1">2</definedName>
    <definedName name="solver_ver" localSheetId="4" hidden="1">3</definedName>
    <definedName name="solver_ver" localSheetId="3" hidden="1">3</definedName>
    <definedName name="solver_ver" localSheetId="1" hidden="1">2</definedName>
    <definedName name="_xlnm.Print_Area" localSheetId="0">HighOptic!$A$1:$I$61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22" i="7" l="1"/>
  <c r="B32" i="8" l="1"/>
  <c r="B41" i="9"/>
  <c r="B29" i="7"/>
  <c r="B32" i="7"/>
  <c r="B32" i="9"/>
  <c r="B32" i="6"/>
  <c r="B26" i="8"/>
  <c r="B25" i="8"/>
  <c r="B24" i="8"/>
  <c r="B23" i="8"/>
  <c r="B22" i="8"/>
  <c r="G29" i="8"/>
  <c r="F29" i="8"/>
  <c r="E29" i="8"/>
  <c r="D29" i="8"/>
  <c r="C29" i="8"/>
  <c r="B29" i="8"/>
  <c r="G22" i="7"/>
  <c r="B26" i="7"/>
  <c r="B25" i="7"/>
  <c r="B24" i="7"/>
  <c r="B23" i="7"/>
  <c r="G29" i="7"/>
  <c r="F29" i="7"/>
  <c r="E29" i="7"/>
  <c r="D29" i="7"/>
  <c r="C29" i="7"/>
  <c r="G38" i="9"/>
  <c r="F38" i="9"/>
  <c r="E38" i="9"/>
  <c r="D38" i="9"/>
  <c r="C38" i="9"/>
  <c r="B38" i="9"/>
  <c r="B35" i="9"/>
  <c r="B34" i="9"/>
  <c r="B33" i="9"/>
  <c r="B31" i="9"/>
  <c r="B23" i="9"/>
  <c r="C23" i="9"/>
  <c r="G27" i="9"/>
  <c r="F27" i="9"/>
  <c r="E27" i="9"/>
  <c r="D27" i="9"/>
  <c r="C27" i="9"/>
  <c r="G26" i="9"/>
  <c r="F26" i="9"/>
  <c r="E26" i="9"/>
  <c r="D26" i="9"/>
  <c r="C26" i="9"/>
  <c r="G25" i="9"/>
  <c r="F25" i="9"/>
  <c r="E25" i="9"/>
  <c r="D25" i="9"/>
  <c r="C25" i="9"/>
  <c r="G24" i="9"/>
  <c r="F24" i="9"/>
  <c r="E24" i="9"/>
  <c r="D24" i="9"/>
  <c r="C24" i="9"/>
  <c r="G23" i="9"/>
  <c r="F23" i="9"/>
  <c r="E23" i="9"/>
  <c r="D23" i="9"/>
  <c r="B27" i="9"/>
  <c r="B26" i="9"/>
  <c r="B25" i="9"/>
  <c r="B24" i="9"/>
  <c r="B32" i="3"/>
  <c r="B23" i="3"/>
  <c r="E29" i="3"/>
  <c r="F29" i="3"/>
  <c r="G29" i="3"/>
  <c r="B24" i="3"/>
  <c r="B22" i="3"/>
  <c r="B26" i="3"/>
  <c r="B25" i="3"/>
  <c r="D29" i="3"/>
  <c r="C29" i="3"/>
  <c r="B29" i="3"/>
  <c r="B22" i="6"/>
  <c r="B25" i="6"/>
  <c r="B26" i="6"/>
  <c r="B29" i="6"/>
  <c r="C29" i="6"/>
  <c r="D29" i="6"/>
  <c r="B24" i="6"/>
  <c r="B23" i="6"/>
  <c r="G29" i="6"/>
  <c r="F29" i="6"/>
  <c r="E29" i="6"/>
</calcChain>
</file>

<file path=xl/sharedStrings.xml><?xml version="1.0" encoding="utf-8"?>
<sst xmlns="http://schemas.openxmlformats.org/spreadsheetml/2006/main" count="297" uniqueCount="53">
  <si>
    <t>Inputs - Costs, Capacities, Demands ( for HighOptic)</t>
  </si>
  <si>
    <t>Demand City
Production and Transportation Cost per 1000 Units</t>
  </si>
  <si>
    <t xml:space="preserve">Fixed </t>
  </si>
  <si>
    <t>Capa-</t>
  </si>
  <si>
    <t>Supply City</t>
  </si>
  <si>
    <t>Atlanta</t>
  </si>
  <si>
    <t>Boston</t>
  </si>
  <si>
    <t>Chicago</t>
  </si>
  <si>
    <t>Denver</t>
  </si>
  <si>
    <t>Omaha</t>
  </si>
  <si>
    <t>Portland</t>
  </si>
  <si>
    <t>Cost ($)</t>
  </si>
  <si>
    <t>city</t>
  </si>
  <si>
    <t>Baltimore</t>
  </si>
  <si>
    <t>Cheyenne</t>
  </si>
  <si>
    <t>Salt Lake</t>
  </si>
  <si>
    <t>Memphis</t>
  </si>
  <si>
    <t>Wichita</t>
  </si>
  <si>
    <t>Demand</t>
  </si>
  <si>
    <t>Decision Variables</t>
  </si>
  <si>
    <t>Demand City - Production Allocation (1000 Units)</t>
  </si>
  <si>
    <t>Plants</t>
  </si>
  <si>
    <t>(1=open)</t>
  </si>
  <si>
    <t>Constraints</t>
  </si>
  <si>
    <t>Excess Capacity</t>
  </si>
  <si>
    <t>Unmet Demand</t>
  </si>
  <si>
    <t>Objective Function</t>
  </si>
  <si>
    <t>Cost =</t>
  </si>
  <si>
    <t>Inputs - Costs, Capacities, Demands ( for TelecomOne)</t>
  </si>
  <si>
    <t>Inputs - Costs, Capacities, Demands (for TelecomOptic)</t>
  </si>
  <si>
    <t xml:space="preserve">      Total Available Capacity</t>
  </si>
  <si>
    <t>Demand City Supplied (1 indicates Cities Supplied)</t>
  </si>
  <si>
    <t>Resulting Production Allocation</t>
  </si>
  <si>
    <t>xij</t>
  </si>
  <si>
    <t>yi</t>
  </si>
  <si>
    <t>i=1</t>
  </si>
  <si>
    <t>i=2</t>
  </si>
  <si>
    <t>i=3</t>
  </si>
  <si>
    <t>i=4</t>
  </si>
  <si>
    <t>i=5</t>
  </si>
  <si>
    <t>j=1</t>
  </si>
  <si>
    <t>j=2</t>
  </si>
  <si>
    <t>j=3</t>
  </si>
  <si>
    <t>j=4</t>
  </si>
  <si>
    <t>j=5</t>
  </si>
  <si>
    <t>j=6</t>
  </si>
  <si>
    <t>Dj</t>
  </si>
  <si>
    <t>Ki</t>
  </si>
  <si>
    <t>Binaire</t>
  </si>
  <si>
    <t>&gt;= 0</t>
  </si>
  <si>
    <t>is = 0</t>
  </si>
  <si>
    <t>Eq 1</t>
  </si>
  <si>
    <t>Eq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</si>
</sst>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(&quot;$&quot;* #,##0_);_(&quot;$&quot;* \(#,##0\);_(&quot;$&quot;* &quot;-&quot;??_);_(@_)"/>
    <numFmt numFmtId="167" formatCode="_(* #,##0_);_(* \(#,##0\);_(* &quot;-&quot;??_);_(@_)"/>
  </numFmts>
  <fonts count="10" x14ac:knownFonts="1">
    <font>
      <sz val="10"/>
      <name val="Arial"/>
    </font>
    <font>
      <sz val="10"/>
      <name val="Arial"/>
      <family val="2"/>
    </font>
    <font>
      <b/>
      <i/>
      <sz val="10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11"/>
      <name val="Times New Roman"/>
      <family val="1"/>
    </font>
    <font>
      <i/>
      <sz val="11"/>
      <name val="Times New Roman"/>
      <family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0"/>
      <color theme="1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52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 applyAlignment="1">
      <alignment horizontal="right"/>
    </xf>
    <xf numFmtId="0" fontId="0" fillId="0" borderId="14" xfId="0" applyBorder="1"/>
    <xf numFmtId="0" fontId="0" fillId="0" borderId="15" xfId="0" applyBorder="1" applyAlignment="1">
      <alignment horizontal="right"/>
    </xf>
    <xf numFmtId="0" fontId="0" fillId="0" borderId="16" xfId="0" applyBorder="1"/>
    <xf numFmtId="0" fontId="0" fillId="0" borderId="17" xfId="0" applyBorder="1"/>
    <xf numFmtId="0" fontId="4" fillId="0" borderId="18" xfId="0" applyFont="1" applyBorder="1"/>
    <xf numFmtId="0" fontId="3" fillId="0" borderId="19" xfId="0" applyFont="1" applyBorder="1" applyAlignment="1">
      <alignment horizontal="right"/>
    </xf>
    <xf numFmtId="0" fontId="0" fillId="0" borderId="20" xfId="0" applyBorder="1" applyAlignment="1">
      <alignment horizontal="right" wrapText="1"/>
    </xf>
    <xf numFmtId="0" fontId="0" fillId="0" borderId="19" xfId="0" applyBorder="1" applyAlignment="1">
      <alignment horizontal="right"/>
    </xf>
    <xf numFmtId="0" fontId="0" fillId="0" borderId="21" xfId="0" applyBorder="1" applyAlignment="1">
      <alignment horizontal="right"/>
    </xf>
    <xf numFmtId="0" fontId="0" fillId="0" borderId="22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4" xfId="0" applyBorder="1" applyAlignment="1">
      <alignment horizontal="right"/>
    </xf>
    <xf numFmtId="0" fontId="4" fillId="0" borderId="25" xfId="0" applyFont="1" applyBorder="1"/>
    <xf numFmtId="0" fontId="4" fillId="0" borderId="26" xfId="0" applyFont="1" applyBorder="1"/>
    <xf numFmtId="0" fontId="0" fillId="0" borderId="27" xfId="0" applyBorder="1" applyAlignment="1">
      <alignment horizontal="right"/>
    </xf>
    <xf numFmtId="0" fontId="0" fillId="2" borderId="28" xfId="0" applyFill="1" applyBorder="1"/>
    <xf numFmtId="0" fontId="0" fillId="2" borderId="11" xfId="0" applyFill="1" applyBorder="1"/>
    <xf numFmtId="0" fontId="0" fillId="2" borderId="29" xfId="0" applyFill="1" applyBorder="1"/>
    <xf numFmtId="167" fontId="0" fillId="0" borderId="28" xfId="1" applyNumberFormat="1" applyFont="1" applyBorder="1"/>
    <xf numFmtId="167" fontId="0" fillId="0" borderId="11" xfId="1" applyNumberFormat="1" applyFont="1" applyBorder="1"/>
    <xf numFmtId="167" fontId="0" fillId="0" borderId="9" xfId="1" applyNumberFormat="1" applyFont="1" applyBorder="1"/>
    <xf numFmtId="167" fontId="0" fillId="0" borderId="0" xfId="1" applyNumberFormat="1" applyFont="1" applyBorder="1"/>
    <xf numFmtId="0" fontId="3" fillId="0" borderId="30" xfId="0" applyFont="1" applyBorder="1" applyAlignment="1">
      <alignment horizontal="right"/>
    </xf>
    <xf numFmtId="0" fontId="3" fillId="0" borderId="20" xfId="0" applyFont="1" applyBorder="1" applyAlignment="1">
      <alignment horizontal="right"/>
    </xf>
    <xf numFmtId="167" fontId="0" fillId="0" borderId="31" xfId="1" applyNumberFormat="1" applyFont="1" applyBorder="1"/>
    <xf numFmtId="167" fontId="0" fillId="0" borderId="32" xfId="1" applyNumberFormat="1" applyFont="1" applyBorder="1"/>
    <xf numFmtId="0" fontId="2" fillId="0" borderId="33" xfId="0" applyFont="1" applyBorder="1"/>
    <xf numFmtId="166" fontId="0" fillId="0" borderId="34" xfId="2" applyNumberFormat="1" applyFont="1" applyBorder="1"/>
    <xf numFmtId="0" fontId="4" fillId="0" borderId="4" xfId="0" applyFont="1" applyBorder="1"/>
    <xf numFmtId="167" fontId="1" fillId="0" borderId="28" xfId="1" applyNumberFormat="1" applyBorder="1"/>
    <xf numFmtId="167" fontId="1" fillId="0" borderId="11" xfId="1" applyNumberFormat="1" applyBorder="1"/>
    <xf numFmtId="167" fontId="1" fillId="0" borderId="31" xfId="1" applyNumberFormat="1" applyBorder="1"/>
    <xf numFmtId="167" fontId="1" fillId="0" borderId="9" xfId="1" applyNumberFormat="1" applyBorder="1"/>
    <xf numFmtId="167" fontId="1" fillId="0" borderId="0" xfId="1" applyNumberFormat="1" applyBorder="1"/>
    <xf numFmtId="167" fontId="1" fillId="0" borderId="32" xfId="1" applyNumberFormat="1" applyBorder="1"/>
    <xf numFmtId="166" fontId="1" fillId="0" borderId="34" xfId="2" applyNumberFormat="1" applyBorder="1"/>
    <xf numFmtId="0" fontId="0" fillId="0" borderId="35" xfId="0" applyBorder="1"/>
    <xf numFmtId="0" fontId="0" fillId="2" borderId="16" xfId="0" applyFill="1" applyBorder="1"/>
    <xf numFmtId="0" fontId="0" fillId="2" borderId="5" xfId="0" applyFill="1" applyBorder="1"/>
    <xf numFmtId="0" fontId="0" fillId="2" borderId="36" xfId="0" applyFill="1" applyBorder="1"/>
    <xf numFmtId="0" fontId="0" fillId="2" borderId="15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21" xfId="0" applyFill="1" applyBorder="1" applyAlignment="1">
      <alignment horizontal="right"/>
    </xf>
    <xf numFmtId="0" fontId="0" fillId="2" borderId="22" xfId="0" applyFill="1" applyBorder="1" applyAlignment="1">
      <alignment horizontal="right"/>
    </xf>
    <xf numFmtId="0" fontId="0" fillId="2" borderId="23" xfId="0" applyFill="1" applyBorder="1" applyAlignment="1">
      <alignment horizontal="right"/>
    </xf>
    <xf numFmtId="0" fontId="3" fillId="0" borderId="20" xfId="0" applyFont="1" applyBorder="1" applyAlignment="1">
      <alignment horizontal="right" wrapText="1"/>
    </xf>
    <xf numFmtId="1" fontId="0" fillId="0" borderId="28" xfId="1" applyNumberFormat="1" applyFont="1" applyFill="1" applyBorder="1"/>
    <xf numFmtId="1" fontId="0" fillId="0" borderId="11" xfId="1" applyNumberFormat="1" applyFont="1" applyFill="1" applyBorder="1"/>
    <xf numFmtId="1" fontId="0" fillId="0" borderId="11" xfId="1" applyNumberFormat="1" applyFont="1" applyBorder="1"/>
    <xf numFmtId="1" fontId="0" fillId="0" borderId="9" xfId="1" applyNumberFormat="1" applyFont="1" applyFill="1" applyBorder="1"/>
    <xf numFmtId="1" fontId="0" fillId="0" borderId="0" xfId="1" applyNumberFormat="1" applyFont="1" applyFill="1" applyBorder="1"/>
    <xf numFmtId="1" fontId="0" fillId="0" borderId="35" xfId="1" applyNumberFormat="1" applyFont="1" applyFill="1" applyBorder="1"/>
    <xf numFmtId="1" fontId="0" fillId="0" borderId="9" xfId="1" applyNumberFormat="1" applyFont="1" applyBorder="1"/>
    <xf numFmtId="1" fontId="0" fillId="0" borderId="0" xfId="1" applyNumberFormat="1" applyFont="1" applyBorder="1"/>
    <xf numFmtId="1" fontId="0" fillId="0" borderId="16" xfId="1" applyNumberFormat="1" applyFont="1" applyFill="1" applyBorder="1"/>
    <xf numFmtId="1" fontId="0" fillId="0" borderId="5" xfId="1" applyNumberFormat="1" applyFont="1" applyFill="1" applyBorder="1"/>
    <xf numFmtId="1" fontId="0" fillId="0" borderId="5" xfId="1" applyNumberFormat="1" applyFont="1" applyBorder="1"/>
    <xf numFmtId="1" fontId="0" fillId="0" borderId="9" xfId="0" applyNumberFormat="1" applyBorder="1"/>
    <xf numFmtId="1" fontId="0" fillId="0" borderId="16" xfId="0" applyNumberFormat="1" applyBorder="1"/>
    <xf numFmtId="1" fontId="0" fillId="0" borderId="5" xfId="0" applyNumberFormat="1" applyBorder="1"/>
    <xf numFmtId="1" fontId="0" fillId="0" borderId="6" xfId="0" applyNumberFormat="1" applyBorder="1"/>
    <xf numFmtId="1" fontId="1" fillId="0" borderId="28" xfId="1" applyNumberFormat="1" applyFill="1" applyBorder="1"/>
    <xf numFmtId="1" fontId="1" fillId="0" borderId="11" xfId="1" applyNumberFormat="1" applyFill="1" applyBorder="1"/>
    <xf numFmtId="1" fontId="1" fillId="0" borderId="11" xfId="1" applyNumberFormat="1" applyBorder="1"/>
    <xf numFmtId="1" fontId="1" fillId="0" borderId="9" xfId="1" applyNumberFormat="1" applyFill="1" applyBorder="1"/>
    <xf numFmtId="1" fontId="1" fillId="0" borderId="0" xfId="1" applyNumberFormat="1" applyFill="1" applyBorder="1"/>
    <xf numFmtId="1" fontId="1" fillId="0" borderId="9" xfId="1" applyNumberFormat="1" applyBorder="1"/>
    <xf numFmtId="1" fontId="1" fillId="0" borderId="0" xfId="1" applyNumberFormat="1" applyBorder="1"/>
    <xf numFmtId="1" fontId="1" fillId="0" borderId="16" xfId="1" applyNumberFormat="1" applyFill="1" applyBorder="1"/>
    <xf numFmtId="1" fontId="1" fillId="0" borderId="5" xfId="1" applyNumberFormat="1" applyFill="1" applyBorder="1"/>
    <xf numFmtId="1" fontId="1" fillId="0" borderId="5" xfId="1" applyNumberFormat="1" applyBorder="1"/>
    <xf numFmtId="0" fontId="0" fillId="0" borderId="0" xfId="0" applyAlignment="1">
      <alignment horizontal="right"/>
    </xf>
    <xf numFmtId="0" fontId="0" fillId="0" borderId="38" xfId="0" applyBorder="1" applyAlignment="1">
      <alignment horizontal="right"/>
    </xf>
    <xf numFmtId="1" fontId="1" fillId="0" borderId="12" xfId="1" applyNumberFormat="1" applyBorder="1"/>
    <xf numFmtId="1" fontId="1" fillId="0" borderId="3" xfId="1" applyNumberFormat="1" applyFill="1" applyBorder="1"/>
    <xf numFmtId="1" fontId="1" fillId="0" borderId="3" xfId="1" applyNumberFormat="1" applyBorder="1"/>
    <xf numFmtId="1" fontId="1" fillId="0" borderId="6" xfId="1" applyNumberFormat="1" applyBorder="1"/>
    <xf numFmtId="0" fontId="4" fillId="0" borderId="0" xfId="0" applyFont="1"/>
    <xf numFmtId="0" fontId="4" fillId="0" borderId="3" xfId="0" applyFont="1" applyBorder="1" applyAlignment="1">
      <alignment horizontal="left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right"/>
    </xf>
    <xf numFmtId="1" fontId="0" fillId="0" borderId="28" xfId="0" applyNumberFormat="1" applyBorder="1"/>
    <xf numFmtId="1" fontId="0" fillId="0" borderId="11" xfId="0" applyNumberFormat="1" applyBorder="1"/>
    <xf numFmtId="1" fontId="0" fillId="0" borderId="0" xfId="0" applyNumberFormat="1"/>
    <xf numFmtId="1" fontId="0" fillId="2" borderId="28" xfId="0" applyNumberFormat="1" applyFill="1" applyBorder="1"/>
    <xf numFmtId="1" fontId="0" fillId="2" borderId="11" xfId="0" applyNumberFormat="1" applyFill="1" applyBorder="1"/>
    <xf numFmtId="1" fontId="0" fillId="2" borderId="29" xfId="0" applyNumberFormat="1" applyFill="1" applyBorder="1"/>
    <xf numFmtId="1" fontId="0" fillId="2" borderId="39" xfId="0" applyNumberFormat="1" applyFill="1" applyBorder="1"/>
    <xf numFmtId="1" fontId="0" fillId="2" borderId="13" xfId="0" applyNumberFormat="1" applyFill="1" applyBorder="1"/>
    <xf numFmtId="1" fontId="0" fillId="2" borderId="40" xfId="0" applyNumberFormat="1" applyFill="1" applyBorder="1"/>
    <xf numFmtId="166" fontId="3" fillId="0" borderId="0" xfId="2" applyNumberFormat="1" applyFont="1" applyFill="1"/>
    <xf numFmtId="0" fontId="3" fillId="0" borderId="0" xfId="0" applyFont="1"/>
    <xf numFmtId="166" fontId="0" fillId="0" borderId="0" xfId="2" applyNumberFormat="1" applyFont="1" applyBorder="1"/>
    <xf numFmtId="0" fontId="3" fillId="0" borderId="41" xfId="0" applyFont="1" applyBorder="1" applyAlignment="1">
      <alignment horizontal="right"/>
    </xf>
    <xf numFmtId="166" fontId="0" fillId="0" borderId="0" xfId="0" applyNumberFormat="1"/>
    <xf numFmtId="0" fontId="7" fillId="0" borderId="0" xfId="0" applyFont="1"/>
    <xf numFmtId="0" fontId="8" fillId="0" borderId="0" xfId="0" applyFont="1"/>
    <xf numFmtId="166" fontId="3" fillId="0" borderId="0" xfId="0" applyNumberFormat="1" applyFont="1"/>
    <xf numFmtId="0" fontId="1" fillId="0" borderId="0" xfId="0" applyFont="1"/>
    <xf numFmtId="1" fontId="1" fillId="3" borderId="28" xfId="1" applyNumberFormat="1" applyFill="1" applyBorder="1"/>
    <xf numFmtId="1" fontId="1" fillId="3" borderId="11" xfId="1" applyNumberFormat="1" applyFill="1" applyBorder="1"/>
    <xf numFmtId="1" fontId="1" fillId="3" borderId="9" xfId="1" applyNumberFormat="1" applyFill="1" applyBorder="1"/>
    <xf numFmtId="1" fontId="1" fillId="3" borderId="0" xfId="1" applyNumberFormat="1" applyFill="1" applyBorder="1"/>
    <xf numFmtId="1" fontId="1" fillId="3" borderId="35" xfId="1" applyNumberFormat="1" applyFill="1" applyBorder="1"/>
    <xf numFmtId="1" fontId="1" fillId="3" borderId="16" xfId="1" applyNumberFormat="1" applyFill="1" applyBorder="1"/>
    <xf numFmtId="1" fontId="1" fillId="3" borderId="5" xfId="1" applyNumberFormat="1" applyFill="1" applyBorder="1"/>
    <xf numFmtId="0" fontId="0" fillId="3" borderId="0" xfId="0" applyFill="1" applyAlignment="1">
      <alignment horizontal="right"/>
    </xf>
    <xf numFmtId="0" fontId="0" fillId="4" borderId="21" xfId="0" applyFill="1" applyBorder="1" applyAlignment="1">
      <alignment horizontal="right"/>
    </xf>
    <xf numFmtId="0" fontId="0" fillId="4" borderId="22" xfId="0" applyFill="1" applyBorder="1" applyAlignment="1">
      <alignment horizontal="right"/>
    </xf>
    <xf numFmtId="0" fontId="0" fillId="4" borderId="23" xfId="0" applyFill="1" applyBorder="1" applyAlignment="1">
      <alignment horizontal="right"/>
    </xf>
    <xf numFmtId="0" fontId="0" fillId="4" borderId="0" xfId="0" applyFill="1"/>
    <xf numFmtId="0" fontId="4" fillId="0" borderId="26" xfId="0" applyFont="1" applyBorder="1" applyAlignment="1">
      <alignment horizontal="center" wrapText="1"/>
    </xf>
    <xf numFmtId="0" fontId="4" fillId="0" borderId="7" xfId="0" applyFont="1" applyBorder="1" applyAlignment="1">
      <alignment horizontal="center"/>
    </xf>
    <xf numFmtId="0" fontId="4" fillId="0" borderId="42" xfId="0" applyFont="1" applyBorder="1" applyAlignment="1">
      <alignment horizontal="center"/>
    </xf>
    <xf numFmtId="0" fontId="0" fillId="0" borderId="7" xfId="0" applyBorder="1"/>
    <xf numFmtId="0" fontId="0" fillId="0" borderId="42" xfId="0" applyBorder="1"/>
    <xf numFmtId="0" fontId="0" fillId="0" borderId="8" xfId="0" applyBorder="1"/>
    <xf numFmtId="0" fontId="1" fillId="4" borderId="0" xfId="0" applyFont="1" applyFill="1"/>
    <xf numFmtId="0" fontId="1" fillId="5" borderId="0" xfId="0" applyFont="1" applyFill="1"/>
    <xf numFmtId="1" fontId="0" fillId="5" borderId="9" xfId="0" applyNumberFormat="1" applyFill="1" applyBorder="1"/>
    <xf numFmtId="1" fontId="1" fillId="5" borderId="28" xfId="1" applyNumberFormat="1" applyFill="1" applyBorder="1"/>
    <xf numFmtId="1" fontId="1" fillId="5" borderId="11" xfId="1" applyNumberFormat="1" applyFill="1" applyBorder="1"/>
    <xf numFmtId="1" fontId="1" fillId="5" borderId="9" xfId="1" applyNumberFormat="1" applyFill="1" applyBorder="1"/>
    <xf numFmtId="1" fontId="1" fillId="5" borderId="0" xfId="1" applyNumberFormat="1" applyFill="1" applyBorder="1"/>
    <xf numFmtId="1" fontId="1" fillId="5" borderId="35" xfId="1" applyNumberFormat="1" applyFill="1" applyBorder="1"/>
    <xf numFmtId="1" fontId="1" fillId="5" borderId="16" xfId="1" applyNumberFormat="1" applyFill="1" applyBorder="1"/>
    <xf numFmtId="1" fontId="1" fillId="5" borderId="5" xfId="1" applyNumberFormat="1" applyFill="1" applyBorder="1"/>
    <xf numFmtId="1" fontId="0" fillId="6" borderId="16" xfId="0" applyNumberFormat="1" applyFill="1" applyBorder="1"/>
    <xf numFmtId="1" fontId="0" fillId="6" borderId="5" xfId="0" applyNumberFormat="1" applyFill="1" applyBorder="1"/>
    <xf numFmtId="1" fontId="0" fillId="6" borderId="6" xfId="0" applyNumberFormat="1" applyFill="1" applyBorder="1"/>
    <xf numFmtId="0" fontId="1" fillId="6" borderId="0" xfId="0" applyFont="1" applyFill="1"/>
    <xf numFmtId="0" fontId="0" fillId="0" borderId="2" xfId="0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9" fillId="7" borderId="16" xfId="0" applyFont="1" applyFill="1" applyBorder="1"/>
    <xf numFmtId="0" fontId="9" fillId="7" borderId="5" xfId="0" applyFont="1" applyFill="1" applyBorder="1"/>
  </cellXfs>
  <cellStyles count="3">
    <cellStyle name="Milliers" xfId="1" builtinId="3"/>
    <cellStyle name="Monétaire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80210</xdr:colOff>
      <xdr:row>30</xdr:row>
      <xdr:rowOff>10026</xdr:rowOff>
    </xdr:from>
    <xdr:ext cx="3713965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854868" y="4632158"/>
          <a:ext cx="3713965" cy="609013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Optimal Demand Allocation for HighOptic </a:t>
          </a:r>
          <a:endParaRPr lang="en-US" sz="1100" b="0"/>
        </a:p>
        <a:p>
          <a:r>
            <a:rPr lang="en-US" sz="1100" b="0"/>
            <a:t>1. Using Data | Analysis | Solver, solve the demand allocation</a:t>
          </a:r>
        </a:p>
        <a:p>
          <a:r>
            <a:rPr lang="en-US" sz="1100" b="0"/>
            <a:t>problem for HighOptic</a:t>
          </a:r>
          <a:endParaRPr lang="en-US" sz="1100" b="1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90237</xdr:colOff>
      <xdr:row>29</xdr:row>
      <xdr:rowOff>70185</xdr:rowOff>
    </xdr:from>
    <xdr:ext cx="3702680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108869" y="4735764"/>
          <a:ext cx="3702680" cy="609013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Optimal Demand Allocation for TelecomOne </a:t>
          </a:r>
          <a:endParaRPr lang="en-US" sz="1100" b="0"/>
        </a:p>
        <a:p>
          <a:r>
            <a:rPr lang="en-US" sz="1100" b="0"/>
            <a:t>1. Using Data | Analysis | Solver, solve the demand allocation</a:t>
          </a:r>
        </a:p>
        <a:p>
          <a:r>
            <a:rPr lang="en-US" sz="1100" b="0"/>
            <a:t>problem for HighOptic</a:t>
          </a:r>
          <a:endParaRPr lang="en-US" sz="1100" b="1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90237</xdr:colOff>
      <xdr:row>32</xdr:row>
      <xdr:rowOff>70184</xdr:rowOff>
    </xdr:from>
    <xdr:ext cx="4643707" cy="1297919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90237" y="5123447"/>
          <a:ext cx="4643707" cy="1297919"/>
        </a:xfrm>
        <a:prstGeom prst="rect">
          <a:avLst/>
        </a:prstGeom>
        <a:solidFill>
          <a:srgbClr val="FFFF00"/>
        </a:solidFill>
        <a:ln w="12700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Evaluating the Merged Network with All Plants open</a:t>
          </a:r>
        </a:p>
        <a:p>
          <a:r>
            <a:rPr lang="en-US" sz="1100"/>
            <a:t>In this worksheet we evaluate the performance of the merged network</a:t>
          </a:r>
        </a:p>
        <a:p>
          <a:r>
            <a:rPr lang="en-US" sz="1100"/>
            <a:t>if all plants are kept open. To do so solve the model using Solver.</a:t>
          </a:r>
        </a:p>
        <a:p>
          <a:endParaRPr lang="en-US" sz="1100"/>
        </a:p>
        <a:p>
          <a:r>
            <a:rPr lang="en-US" sz="1100"/>
            <a:t>The reduction</a:t>
          </a:r>
          <a:r>
            <a:rPr lang="en-US" sz="1100" baseline="0"/>
            <a:t> in total cost relative to the sum of the costs of the independent</a:t>
          </a:r>
        </a:p>
        <a:p>
          <a:r>
            <a:rPr lang="en-US" sz="1100" baseline="0"/>
            <a:t>networks (from the previous two worksheets) represents the synergies</a:t>
          </a:r>
        </a:p>
        <a:p>
          <a:r>
            <a:rPr lang="en-US" sz="1100" baseline="0"/>
            <a:t>obtained simply be reallocating demand in the merged network.</a:t>
          </a:r>
          <a:endParaRPr lang="en-US" sz="1100"/>
        </a:p>
      </xdr:txBody>
    </xdr:sp>
    <xdr:clientData/>
  </xdr:oneCellAnchor>
  <xdr:twoCellAnchor editAs="oneCell">
    <xdr:from>
      <xdr:col>9</xdr:col>
      <xdr:colOff>386011</xdr:colOff>
      <xdr:row>15</xdr:row>
      <xdr:rowOff>34717</xdr:rowOff>
    </xdr:from>
    <xdr:to>
      <xdr:col>17</xdr:col>
      <xdr:colOff>79537</xdr:colOff>
      <xdr:row>27</xdr:row>
      <xdr:rowOff>36161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7C4D7BC-A71B-91BF-2847-A97555B7F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47183" y="2636546"/>
          <a:ext cx="4746789" cy="188137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4279</xdr:colOff>
      <xdr:row>19</xdr:row>
      <xdr:rowOff>14288</xdr:rowOff>
    </xdr:from>
    <xdr:to>
      <xdr:col>14</xdr:col>
      <xdr:colOff>472180</xdr:colOff>
      <xdr:row>29</xdr:row>
      <xdr:rowOff>157700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C49A091-05D4-7104-494C-E0BB162E7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76404" y="3181351"/>
          <a:ext cx="4296951" cy="1691224"/>
        </a:xfrm>
        <a:prstGeom prst="rect">
          <a:avLst/>
        </a:prstGeom>
      </xdr:spPr>
    </xdr:pic>
    <xdr:clientData/>
  </xdr:twoCellAnchor>
  <xdr:twoCellAnchor>
    <xdr:from>
      <xdr:col>2</xdr:col>
      <xdr:colOff>210910</xdr:colOff>
      <xdr:row>39</xdr:row>
      <xdr:rowOff>111579</xdr:rowOff>
    </xdr:from>
    <xdr:to>
      <xdr:col>6</xdr:col>
      <xdr:colOff>374196</xdr:colOff>
      <xdr:row>41</xdr:row>
      <xdr:rowOff>119742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1C6ABB7F-6C49-0CA2-18F8-8B2A6654CCCC}"/>
            </a:ext>
          </a:extLst>
        </xdr:cNvPr>
        <xdr:cNvSpPr txBox="1"/>
      </xdr:nvSpPr>
      <xdr:spPr>
        <a:xfrm>
          <a:off x="2081893" y="6302829"/>
          <a:ext cx="2530929" cy="3483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BE" sz="1600" kern="1200">
              <a:solidFill>
                <a:srgbClr val="FF0000"/>
              </a:solidFill>
            </a:rPr>
            <a:t>fixed</a:t>
          </a:r>
          <a:r>
            <a:rPr lang="fr-BE" sz="1600" kern="1200" baseline="0">
              <a:solidFill>
                <a:srgbClr val="FF0000"/>
              </a:solidFill>
            </a:rPr>
            <a:t> cost + variable cost</a:t>
          </a:r>
          <a:endParaRPr lang="fr-BE" sz="1600" kern="1200">
            <a:solidFill>
              <a:srgbClr val="FF000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100263</xdr:colOff>
      <xdr:row>33</xdr:row>
      <xdr:rowOff>50132</xdr:rowOff>
    </xdr:from>
    <xdr:ext cx="5087355" cy="78124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100263" y="5277185"/>
          <a:ext cx="5087355" cy="781240"/>
        </a:xfrm>
        <a:prstGeom prst="rect">
          <a:avLst/>
        </a:prstGeom>
        <a:solidFill>
          <a:srgbClr val="FFFF00"/>
        </a:solidFill>
        <a:ln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r>
            <a:rPr lang="en-US" sz="1100" b="1"/>
            <a:t>Building Figure</a:t>
          </a:r>
          <a:r>
            <a:rPr lang="en-US" sz="1100" b="1" baseline="0"/>
            <a:t> 5-12</a:t>
          </a:r>
          <a:endParaRPr lang="en-US" sz="1100" b="0" baseline="0"/>
        </a:p>
        <a:p>
          <a:r>
            <a:rPr lang="en-US" sz="1100" b="0" baseline="0"/>
            <a:t>Using Data | Analysis | Solver, solve the model.</a:t>
          </a:r>
        </a:p>
        <a:p>
          <a:r>
            <a:rPr lang="en-US" sz="1100" b="0" baseline="0"/>
            <a:t>Observe that the plants in Wichita and Salt lake are shut to further lower cost relative</a:t>
          </a:r>
        </a:p>
        <a:p>
          <a:r>
            <a:rPr lang="en-US" sz="1100" b="0" baseline="0"/>
            <a:t>to keeping all plants open.</a:t>
          </a:r>
          <a:endParaRPr lang="en-US" sz="1100" b="1"/>
        </a:p>
      </xdr:txBody>
    </xdr:sp>
    <xdr:clientData/>
  </xdr:oneCellAnchor>
  <xdr:twoCellAnchor editAs="oneCell">
    <xdr:from>
      <xdr:col>9</xdr:col>
      <xdr:colOff>600707</xdr:colOff>
      <xdr:row>14</xdr:row>
      <xdr:rowOff>135354</xdr:rowOff>
    </xdr:from>
    <xdr:to>
      <xdr:col>16</xdr:col>
      <xdr:colOff>436145</xdr:colOff>
      <xdr:row>27</xdr:row>
      <xdr:rowOff>125721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D8A4904-9B61-4424-BD28-61A1623EB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2273" y="2486526"/>
          <a:ext cx="4257044" cy="190539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52"/>
  <sheetViews>
    <sheetView showGridLines="0" zoomScale="95" zoomScaleNormal="95" workbookViewId="0">
      <selection activeCell="B32" sqref="B32"/>
    </sheetView>
  </sheetViews>
  <sheetFormatPr baseColWidth="10" defaultColWidth="8.86328125" defaultRowHeight="12.75" x14ac:dyDescent="0.35"/>
  <cols>
    <col min="1" max="1" width="14.73046875" customWidth="1"/>
    <col min="2" max="2" width="11.86328125" bestFit="1" customWidth="1"/>
    <col min="3" max="3" width="8.3984375" bestFit="1" customWidth="1"/>
    <col min="4" max="4" width="9.3984375" bestFit="1" customWidth="1"/>
    <col min="5" max="5" width="8.86328125" bestFit="1" customWidth="1"/>
    <col min="6" max="6" width="8.3984375" bestFit="1" customWidth="1"/>
    <col min="7" max="7" width="12.3984375" bestFit="1" customWidth="1"/>
    <col min="8" max="8" width="8.73046875" customWidth="1"/>
    <col min="9" max="9" width="6.3984375" bestFit="1" customWidth="1"/>
  </cols>
  <sheetData>
    <row r="1" spans="1:9" ht="13.15" thickBot="1" x14ac:dyDescent="0.4">
      <c r="A1" s="1" t="s">
        <v>0</v>
      </c>
    </row>
    <row r="2" spans="1:9" ht="27" customHeight="1" x14ac:dyDescent="0.4">
      <c r="A2" s="18"/>
      <c r="B2" s="128" t="s">
        <v>1</v>
      </c>
      <c r="C2" s="129"/>
      <c r="D2" s="129"/>
      <c r="E2" s="129"/>
      <c r="F2" s="129"/>
      <c r="G2" s="130"/>
      <c r="H2" s="37" t="s">
        <v>2</v>
      </c>
      <c r="I2" s="38" t="s">
        <v>3</v>
      </c>
    </row>
    <row r="3" spans="1:9" ht="13.15" x14ac:dyDescent="0.4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0" t="s">
        <v>11</v>
      </c>
      <c r="I3" s="20" t="s">
        <v>12</v>
      </c>
    </row>
    <row r="4" spans="1:9" x14ac:dyDescent="0.35">
      <c r="A4" s="11" t="s">
        <v>13</v>
      </c>
      <c r="B4" s="33">
        <v>1675</v>
      </c>
      <c r="C4" s="34">
        <v>400</v>
      </c>
      <c r="D4" s="34">
        <v>685</v>
      </c>
      <c r="E4" s="34">
        <v>1630</v>
      </c>
      <c r="F4" s="34">
        <v>1160</v>
      </c>
      <c r="G4" s="34">
        <v>2800</v>
      </c>
      <c r="H4" s="39">
        <v>7650</v>
      </c>
      <c r="I4" s="13">
        <v>18</v>
      </c>
    </row>
    <row r="5" spans="1:9" x14ac:dyDescent="0.35">
      <c r="A5" s="3" t="s">
        <v>14</v>
      </c>
      <c r="B5" s="35">
        <v>1460</v>
      </c>
      <c r="C5" s="36">
        <v>1940</v>
      </c>
      <c r="D5" s="36">
        <v>970</v>
      </c>
      <c r="E5" s="36">
        <v>100</v>
      </c>
      <c r="F5" s="36">
        <v>495</v>
      </c>
      <c r="G5" s="36">
        <v>1200</v>
      </c>
      <c r="H5" s="40">
        <v>3500</v>
      </c>
      <c r="I5" s="4">
        <v>24</v>
      </c>
    </row>
    <row r="6" spans="1:9" x14ac:dyDescent="0.35">
      <c r="A6" s="3" t="s">
        <v>15</v>
      </c>
      <c r="B6" s="35">
        <v>1925</v>
      </c>
      <c r="C6" s="36">
        <v>2400</v>
      </c>
      <c r="D6" s="36">
        <v>1425</v>
      </c>
      <c r="E6" s="36">
        <v>500</v>
      </c>
      <c r="F6" s="36">
        <v>950</v>
      </c>
      <c r="G6" s="36">
        <v>800</v>
      </c>
      <c r="H6" s="40">
        <v>5000</v>
      </c>
      <c r="I6" s="4">
        <v>27</v>
      </c>
    </row>
    <row r="7" spans="1:9" x14ac:dyDescent="0.35">
      <c r="A7" s="3" t="s">
        <v>16</v>
      </c>
      <c r="B7" s="35">
        <v>380</v>
      </c>
      <c r="C7" s="36">
        <v>1355</v>
      </c>
      <c r="D7" s="36">
        <v>543</v>
      </c>
      <c r="E7" s="36">
        <v>1045</v>
      </c>
      <c r="F7" s="36">
        <v>665</v>
      </c>
      <c r="G7" s="36">
        <v>2321</v>
      </c>
      <c r="H7" s="40">
        <v>4100</v>
      </c>
      <c r="I7" s="4">
        <v>22</v>
      </c>
    </row>
    <row r="8" spans="1:9" x14ac:dyDescent="0.35">
      <c r="A8" s="3" t="s">
        <v>17</v>
      </c>
      <c r="B8" s="35">
        <v>922</v>
      </c>
      <c r="C8" s="36">
        <v>1646</v>
      </c>
      <c r="D8" s="36">
        <v>700</v>
      </c>
      <c r="E8" s="36">
        <v>508</v>
      </c>
      <c r="F8" s="36">
        <v>311</v>
      </c>
      <c r="G8" s="36">
        <v>1797</v>
      </c>
      <c r="H8" s="40">
        <v>2200</v>
      </c>
      <c r="I8" s="4">
        <v>31</v>
      </c>
    </row>
    <row r="9" spans="1:9" ht="13.15" thickBot="1" x14ac:dyDescent="0.4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35">
      <c r="A10" s="2"/>
    </row>
    <row r="11" spans="1:9" ht="13.15" thickBot="1" x14ac:dyDescent="0.4">
      <c r="A11" s="1" t="s">
        <v>19</v>
      </c>
    </row>
    <row r="12" spans="1:9" x14ac:dyDescent="0.35">
      <c r="A12" s="18"/>
      <c r="B12" s="128" t="s">
        <v>20</v>
      </c>
      <c r="C12" s="129"/>
      <c r="D12" s="129"/>
      <c r="E12" s="129"/>
      <c r="F12" s="129"/>
      <c r="G12" s="130"/>
      <c r="H12" s="21" t="s">
        <v>21</v>
      </c>
    </row>
    <row r="13" spans="1:9" x14ac:dyDescent="0.3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35">
      <c r="A14" s="11" t="s">
        <v>13</v>
      </c>
      <c r="B14" s="98">
        <v>0</v>
      </c>
      <c r="C14" s="99">
        <v>0</v>
      </c>
      <c r="D14" s="99">
        <v>0</v>
      </c>
      <c r="E14" s="99">
        <v>0</v>
      </c>
      <c r="F14" s="99">
        <v>0</v>
      </c>
      <c r="G14" s="99">
        <v>0</v>
      </c>
      <c r="H14" s="23"/>
    </row>
    <row r="15" spans="1:9" x14ac:dyDescent="0.35">
      <c r="A15" s="3" t="s">
        <v>14</v>
      </c>
      <c r="B15" s="73">
        <v>0</v>
      </c>
      <c r="C15" s="100">
        <v>0</v>
      </c>
      <c r="D15" s="100">
        <v>0</v>
      </c>
      <c r="E15" s="101">
        <v>6</v>
      </c>
      <c r="F15" s="102">
        <v>7</v>
      </c>
      <c r="G15" s="103">
        <v>0</v>
      </c>
      <c r="H15" s="24">
        <v>1</v>
      </c>
    </row>
    <row r="16" spans="1:9" x14ac:dyDescent="0.35">
      <c r="A16" s="3" t="s">
        <v>15</v>
      </c>
      <c r="B16" s="73">
        <v>0</v>
      </c>
      <c r="C16" s="100">
        <v>0</v>
      </c>
      <c r="D16" s="100">
        <v>0</v>
      </c>
      <c r="E16" s="104">
        <v>0</v>
      </c>
      <c r="F16" s="105">
        <v>0</v>
      </c>
      <c r="G16" s="106">
        <v>11</v>
      </c>
      <c r="H16" s="24">
        <v>1</v>
      </c>
    </row>
    <row r="17" spans="1:8" x14ac:dyDescent="0.35">
      <c r="A17" s="3" t="s">
        <v>16</v>
      </c>
      <c r="B17" s="73">
        <v>0</v>
      </c>
      <c r="C17" s="100">
        <v>0</v>
      </c>
      <c r="D17" s="100">
        <v>0</v>
      </c>
      <c r="E17" s="100">
        <v>0</v>
      </c>
      <c r="F17" s="100">
        <v>0</v>
      </c>
      <c r="G17" s="100">
        <v>0</v>
      </c>
      <c r="H17" s="24"/>
    </row>
    <row r="18" spans="1:8" ht="13.15" thickBot="1" x14ac:dyDescent="0.4">
      <c r="A18" s="5" t="s">
        <v>17</v>
      </c>
      <c r="B18" s="74">
        <v>0</v>
      </c>
      <c r="C18" s="75">
        <v>0</v>
      </c>
      <c r="D18" s="75">
        <v>0</v>
      </c>
      <c r="E18" s="75">
        <v>0</v>
      </c>
      <c r="F18" s="75">
        <v>0</v>
      </c>
      <c r="G18" s="75">
        <v>0</v>
      </c>
      <c r="H18" s="25"/>
    </row>
    <row r="19" spans="1:8" ht="6" customHeight="1" x14ac:dyDescent="0.35"/>
    <row r="20" spans="1:8" ht="13.5" thickBot="1" x14ac:dyDescent="0.45">
      <c r="A20" s="1" t="s">
        <v>23</v>
      </c>
      <c r="E20" s="108"/>
      <c r="F20" s="108"/>
      <c r="G20" s="108"/>
    </row>
    <row r="21" spans="1:8" x14ac:dyDescent="0.3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35">
      <c r="A22" s="3" t="s">
        <v>13</v>
      </c>
      <c r="B22" s="10">
        <f>I4-SUM(B14:G14)</f>
        <v>18</v>
      </c>
      <c r="G22" s="4"/>
    </row>
    <row r="23" spans="1:8" x14ac:dyDescent="0.35">
      <c r="A23" s="3" t="s">
        <v>14</v>
      </c>
      <c r="B23" s="10">
        <f>I5-SUM(B15:G15)</f>
        <v>11</v>
      </c>
      <c r="G23" s="4"/>
    </row>
    <row r="24" spans="1:8" x14ac:dyDescent="0.35">
      <c r="A24" s="3" t="s">
        <v>15</v>
      </c>
      <c r="B24" s="10">
        <f>I6-SUM(B16:G16)</f>
        <v>16</v>
      </c>
      <c r="G24" s="4"/>
    </row>
    <row r="25" spans="1:8" x14ac:dyDescent="0.35">
      <c r="A25" s="3" t="s">
        <v>16</v>
      </c>
      <c r="B25" s="10">
        <f>I7-SUM(B17:G17)</f>
        <v>22</v>
      </c>
      <c r="G25" s="4"/>
    </row>
    <row r="26" spans="1:8" x14ac:dyDescent="0.35">
      <c r="A26" s="3" t="s">
        <v>17</v>
      </c>
      <c r="B26" s="10">
        <f>I8-SUM(B18:G18)</f>
        <v>31</v>
      </c>
      <c r="G26" s="4"/>
    </row>
    <row r="27" spans="1:8" ht="1.5" customHeight="1" x14ac:dyDescent="0.35">
      <c r="A27" s="3"/>
      <c r="B27" s="10"/>
      <c r="G27" s="4"/>
    </row>
    <row r="28" spans="1:8" x14ac:dyDescent="0.3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15" thickBot="1" x14ac:dyDescent="0.4">
      <c r="A29" s="43" t="s">
        <v>25</v>
      </c>
      <c r="B29" s="17">
        <f t="shared" ref="B29:G29" si="0">B9-SUM(B14:B18)</f>
        <v>10</v>
      </c>
      <c r="C29" s="6">
        <f t="shared" si="0"/>
        <v>8</v>
      </c>
      <c r="D29" s="6">
        <f t="shared" si="0"/>
        <v>14</v>
      </c>
      <c r="E29" s="6">
        <f t="shared" si="0"/>
        <v>0</v>
      </c>
      <c r="F29" s="6">
        <f t="shared" si="0"/>
        <v>0</v>
      </c>
      <c r="G29" s="7">
        <f t="shared" si="0"/>
        <v>0</v>
      </c>
    </row>
    <row r="30" spans="1:8" ht="3" customHeight="1" x14ac:dyDescent="0.35"/>
    <row r="31" spans="1:8" ht="13.15" thickBot="1" x14ac:dyDescent="0.4">
      <c r="A31" s="1" t="s">
        <v>26</v>
      </c>
    </row>
    <row r="32" spans="1:8" ht="13.5" thickBot="1" x14ac:dyDescent="0.45">
      <c r="A32" s="41" t="s">
        <v>27</v>
      </c>
      <c r="B32" s="42">
        <f>SUMPRODUCT(E15:G16,E5:G6)+SUMPRODUCT(I5:I6,H15:H16)+SUMPRODUCT(H15:H16,H5:H6)</f>
        <v>21416</v>
      </c>
      <c r="D32" s="108"/>
      <c r="G32" s="109"/>
    </row>
    <row r="33" spans="1:7" ht="13.15" x14ac:dyDescent="0.4">
      <c r="A33" s="108"/>
      <c r="G33" s="107"/>
    </row>
    <row r="38" spans="1:7" x14ac:dyDescent="0.35">
      <c r="A38" s="1"/>
    </row>
    <row r="39" spans="1:7" x14ac:dyDescent="0.35">
      <c r="A39" s="93"/>
    </row>
    <row r="40" spans="1:7" ht="13.9" x14ac:dyDescent="0.4">
      <c r="A40" s="97"/>
      <c r="B40" s="96"/>
    </row>
    <row r="41" spans="1:7" ht="13.9" x14ac:dyDescent="0.4">
      <c r="A41" s="97"/>
      <c r="B41" s="96"/>
    </row>
    <row r="42" spans="1:7" ht="13.9" x14ac:dyDescent="0.4">
      <c r="A42" s="97"/>
      <c r="B42" s="96"/>
    </row>
    <row r="43" spans="1:7" ht="13.9" x14ac:dyDescent="0.4">
      <c r="A43" s="97"/>
      <c r="B43" s="96"/>
    </row>
    <row r="44" spans="1:7" ht="13.9" x14ac:dyDescent="0.4">
      <c r="A44" s="97"/>
      <c r="B44" s="96"/>
    </row>
    <row r="45" spans="1:7" ht="13.9" x14ac:dyDescent="0.4">
      <c r="A45" s="97"/>
      <c r="B45" s="96"/>
    </row>
    <row r="46" spans="1:7" ht="12.75" customHeight="1" x14ac:dyDescent="0.4">
      <c r="A46" s="97"/>
      <c r="B46" s="96"/>
    </row>
    <row r="48" spans="1:7" x14ac:dyDescent="0.35">
      <c r="A48" s="93"/>
    </row>
    <row r="49" spans="1:2" ht="13.9" x14ac:dyDescent="0.4">
      <c r="A49" s="97"/>
      <c r="B49" s="96"/>
    </row>
    <row r="50" spans="1:2" ht="13.9" x14ac:dyDescent="0.4">
      <c r="A50" s="97"/>
      <c r="B50" s="96"/>
    </row>
    <row r="52" spans="1:2" x14ac:dyDescent="0.35">
      <c r="A52" s="93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I55"/>
  <sheetViews>
    <sheetView showGridLines="0" zoomScale="95" zoomScaleNormal="95" workbookViewId="0">
      <selection activeCell="B32" sqref="B32"/>
    </sheetView>
  </sheetViews>
  <sheetFormatPr baseColWidth="10" defaultColWidth="8.86328125" defaultRowHeight="12.75" x14ac:dyDescent="0.35"/>
  <cols>
    <col min="1" max="1" width="14.73046875" customWidth="1"/>
    <col min="2" max="2" width="11.86328125" bestFit="1" customWidth="1"/>
    <col min="3" max="4" width="8.3984375" bestFit="1" customWidth="1"/>
    <col min="5" max="5" width="9.3984375" bestFit="1" customWidth="1"/>
    <col min="6" max="6" width="8.3984375" bestFit="1" customWidth="1"/>
    <col min="7" max="7" width="13" bestFit="1" customWidth="1"/>
    <col min="8" max="8" width="8.73046875" bestFit="1" customWidth="1"/>
    <col min="9" max="9" width="6.3984375" bestFit="1" customWidth="1"/>
  </cols>
  <sheetData>
    <row r="1" spans="1:9" ht="13.15" thickBot="1" x14ac:dyDescent="0.4">
      <c r="A1" s="1" t="s">
        <v>28</v>
      </c>
    </row>
    <row r="2" spans="1:9" ht="27" customHeight="1" x14ac:dyDescent="0.4">
      <c r="A2" s="18"/>
      <c r="B2" s="128" t="s">
        <v>1</v>
      </c>
      <c r="C2" s="129"/>
      <c r="D2" s="129"/>
      <c r="E2" s="129"/>
      <c r="F2" s="129"/>
      <c r="G2" s="130"/>
      <c r="H2" s="37" t="s">
        <v>2</v>
      </c>
      <c r="I2" s="38" t="s">
        <v>3</v>
      </c>
    </row>
    <row r="3" spans="1:9" ht="13.15" x14ac:dyDescent="0.4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0" t="s">
        <v>11</v>
      </c>
      <c r="I3" s="20" t="s">
        <v>12</v>
      </c>
    </row>
    <row r="4" spans="1:9" x14ac:dyDescent="0.3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9" x14ac:dyDescent="0.3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9" x14ac:dyDescent="0.3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9" x14ac:dyDescent="0.3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9" x14ac:dyDescent="0.3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9" ht="13.15" thickBot="1" x14ac:dyDescent="0.4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9" ht="5.25" customHeight="1" x14ac:dyDescent="0.35">
      <c r="A10" s="2"/>
    </row>
    <row r="11" spans="1:9" ht="13.15" thickBot="1" x14ac:dyDescent="0.4">
      <c r="A11" s="1" t="s">
        <v>19</v>
      </c>
    </row>
    <row r="12" spans="1:9" x14ac:dyDescent="0.35">
      <c r="A12" s="18"/>
      <c r="B12" s="128" t="s">
        <v>20</v>
      </c>
      <c r="C12" s="129"/>
      <c r="D12" s="129"/>
      <c r="E12" s="129"/>
      <c r="F12" s="129"/>
      <c r="G12" s="130"/>
      <c r="H12" s="21" t="s">
        <v>21</v>
      </c>
    </row>
    <row r="13" spans="1:9" x14ac:dyDescent="0.3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9" x14ac:dyDescent="0.35">
      <c r="A14" s="11" t="s">
        <v>13</v>
      </c>
      <c r="B14" s="55">
        <v>0</v>
      </c>
      <c r="C14" s="56">
        <v>8</v>
      </c>
      <c r="D14" s="57">
        <v>2</v>
      </c>
      <c r="E14" s="12">
        <v>0</v>
      </c>
      <c r="F14" s="12">
        <v>0</v>
      </c>
      <c r="G14" s="12">
        <v>0</v>
      </c>
      <c r="H14" s="23">
        <v>1</v>
      </c>
    </row>
    <row r="15" spans="1:9" x14ac:dyDescent="0.35">
      <c r="A15" s="3" t="s">
        <v>14</v>
      </c>
      <c r="B15" s="10">
        <v>0</v>
      </c>
      <c r="C15">
        <v>0</v>
      </c>
      <c r="D15">
        <v>0</v>
      </c>
      <c r="E15">
        <v>0</v>
      </c>
      <c r="F15">
        <v>0</v>
      </c>
      <c r="G15" s="51">
        <v>0</v>
      </c>
      <c r="H15" s="24">
        <v>0</v>
      </c>
    </row>
    <row r="16" spans="1:9" x14ac:dyDescent="0.35">
      <c r="A16" s="3" t="s">
        <v>15</v>
      </c>
      <c r="B16" s="10">
        <v>0</v>
      </c>
      <c r="C16">
        <v>0</v>
      </c>
      <c r="D16">
        <v>0</v>
      </c>
      <c r="E16">
        <v>0</v>
      </c>
      <c r="F16">
        <v>0</v>
      </c>
      <c r="G16" s="51">
        <v>0</v>
      </c>
      <c r="H16" s="24">
        <v>0</v>
      </c>
    </row>
    <row r="17" spans="1:8" x14ac:dyDescent="0.35">
      <c r="A17" s="3" t="s">
        <v>16</v>
      </c>
      <c r="B17" s="30">
        <v>10</v>
      </c>
      <c r="C17" s="31">
        <v>0</v>
      </c>
      <c r="D17" s="32">
        <v>12</v>
      </c>
      <c r="E17">
        <v>0</v>
      </c>
      <c r="F17">
        <v>0</v>
      </c>
      <c r="G17">
        <v>0</v>
      </c>
      <c r="H17" s="24">
        <v>1</v>
      </c>
    </row>
    <row r="18" spans="1:8" ht="13.15" thickBot="1" x14ac:dyDescent="0.4">
      <c r="A18" s="5" t="s">
        <v>17</v>
      </c>
      <c r="B18" s="52">
        <v>0</v>
      </c>
      <c r="C18" s="53">
        <v>0</v>
      </c>
      <c r="D18" s="54">
        <v>0</v>
      </c>
      <c r="E18" s="6">
        <v>0</v>
      </c>
      <c r="F18" s="6">
        <v>0</v>
      </c>
      <c r="G18" s="6">
        <v>0</v>
      </c>
      <c r="H18" s="25">
        <v>1</v>
      </c>
    </row>
    <row r="19" spans="1:8" ht="6" customHeight="1" x14ac:dyDescent="0.35"/>
    <row r="20" spans="1:8" ht="13.5" thickBot="1" x14ac:dyDescent="0.45">
      <c r="A20" s="1" t="s">
        <v>23</v>
      </c>
      <c r="E20" s="108"/>
      <c r="F20" s="108"/>
      <c r="G20" s="108"/>
    </row>
    <row r="21" spans="1:8" x14ac:dyDescent="0.3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35">
      <c r="A22" s="3" t="s">
        <v>13</v>
      </c>
      <c r="B22" s="10">
        <f>I4-SUM(B14:G14)</f>
        <v>8</v>
      </c>
      <c r="G22" s="4"/>
    </row>
    <row r="23" spans="1:8" x14ac:dyDescent="0.35">
      <c r="A23" s="3" t="s">
        <v>14</v>
      </c>
      <c r="B23" s="10">
        <f>I5-SUM(B15:G15)</f>
        <v>24</v>
      </c>
      <c r="G23" s="4"/>
    </row>
    <row r="24" spans="1:8" x14ac:dyDescent="0.35">
      <c r="A24" s="3" t="s">
        <v>15</v>
      </c>
      <c r="B24" s="10">
        <f>I6-SUM(B16:G16)</f>
        <v>27</v>
      </c>
      <c r="G24" s="4"/>
    </row>
    <row r="25" spans="1:8" x14ac:dyDescent="0.35">
      <c r="A25" s="3" t="s">
        <v>16</v>
      </c>
      <c r="B25" s="10">
        <f>I7-SUM(B17:G17)</f>
        <v>0</v>
      </c>
      <c r="G25" s="4"/>
    </row>
    <row r="26" spans="1:8" x14ac:dyDescent="0.35">
      <c r="A26" s="3" t="s">
        <v>17</v>
      </c>
      <c r="B26" s="10">
        <f>I8-SUM(B18:G18)</f>
        <v>31</v>
      </c>
      <c r="G26" s="4"/>
    </row>
    <row r="27" spans="1:8" ht="5.25" customHeight="1" x14ac:dyDescent="0.35">
      <c r="A27" s="3"/>
      <c r="B27" s="10"/>
      <c r="G27" s="4"/>
    </row>
    <row r="28" spans="1:8" x14ac:dyDescent="0.3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15" thickBot="1" x14ac:dyDescent="0.4">
      <c r="A29" s="43" t="s">
        <v>25</v>
      </c>
      <c r="B29" s="17">
        <f t="shared" ref="B29:G29" si="0">B9-SUM(B14:B18)</f>
        <v>0</v>
      </c>
      <c r="C29" s="6">
        <f t="shared" si="0"/>
        <v>0</v>
      </c>
      <c r="D29" s="6">
        <f t="shared" si="0"/>
        <v>0</v>
      </c>
      <c r="E29" s="6">
        <f t="shared" si="0"/>
        <v>6</v>
      </c>
      <c r="F29" s="6">
        <f t="shared" si="0"/>
        <v>7</v>
      </c>
      <c r="G29" s="7">
        <f t="shared" si="0"/>
        <v>11</v>
      </c>
    </row>
    <row r="30" spans="1:8" ht="6" customHeight="1" x14ac:dyDescent="0.35"/>
    <row r="31" spans="1:8" ht="13.15" thickBot="1" x14ac:dyDescent="0.4">
      <c r="A31" s="1" t="s">
        <v>26</v>
      </c>
    </row>
    <row r="32" spans="1:8" ht="13.5" thickBot="1" x14ac:dyDescent="0.45">
      <c r="A32" s="41" t="s">
        <v>27</v>
      </c>
      <c r="B32" s="50">
        <f>SUMPRODUCT(B14:D14,B4:D4)+SUMPRODUCT(B7:D8,B17:D18)+H14*H4+SUMPRODUCT(H7:H8,H17:H18)</f>
        <v>28836</v>
      </c>
      <c r="D32" s="108"/>
      <c r="G32" s="109"/>
    </row>
    <row r="33" spans="1:7" ht="13.15" x14ac:dyDescent="0.4">
      <c r="A33" s="108"/>
      <c r="G33" s="107"/>
    </row>
    <row r="38" spans="1:7" x14ac:dyDescent="0.35">
      <c r="A38" s="1"/>
    </row>
    <row r="39" spans="1:7" x14ac:dyDescent="0.35">
      <c r="A39" s="93"/>
    </row>
    <row r="40" spans="1:7" ht="13.9" x14ac:dyDescent="0.4">
      <c r="A40" s="97"/>
      <c r="B40" s="96"/>
    </row>
    <row r="41" spans="1:7" ht="13.9" x14ac:dyDescent="0.4">
      <c r="A41" s="97"/>
      <c r="B41" s="96"/>
    </row>
    <row r="42" spans="1:7" ht="13.9" x14ac:dyDescent="0.4">
      <c r="A42" s="97"/>
      <c r="B42" s="96"/>
    </row>
    <row r="43" spans="1:7" ht="13.9" x14ac:dyDescent="0.4">
      <c r="A43" s="97"/>
      <c r="B43" s="96"/>
    </row>
    <row r="44" spans="1:7" ht="13.9" x14ac:dyDescent="0.4">
      <c r="A44" s="97"/>
      <c r="B44" s="96"/>
    </row>
    <row r="45" spans="1:7" ht="13.9" x14ac:dyDescent="0.4">
      <c r="A45" s="97"/>
      <c r="B45" s="96"/>
    </row>
    <row r="46" spans="1:7" ht="12.75" customHeight="1" x14ac:dyDescent="0.4">
      <c r="A46" s="97"/>
      <c r="B46" s="96"/>
    </row>
    <row r="48" spans="1:7" x14ac:dyDescent="0.35">
      <c r="A48" s="93"/>
    </row>
    <row r="49" spans="1:5" ht="13.9" x14ac:dyDescent="0.4">
      <c r="A49" s="97"/>
      <c r="B49" s="96"/>
    </row>
    <row r="50" spans="1:5" ht="13.9" x14ac:dyDescent="0.4">
      <c r="A50" s="97"/>
      <c r="B50" s="96"/>
    </row>
    <row r="52" spans="1:5" x14ac:dyDescent="0.35">
      <c r="A52" s="93"/>
    </row>
    <row r="53" spans="1:5" ht="14.25" x14ac:dyDescent="0.45">
      <c r="E53" s="112"/>
    </row>
    <row r="54" spans="1:5" ht="14.25" x14ac:dyDescent="0.45">
      <c r="E54" s="113"/>
    </row>
    <row r="55" spans="1:5" ht="14.25" x14ac:dyDescent="0.45">
      <c r="E55" s="113"/>
    </row>
  </sheetData>
  <mergeCells count="2">
    <mergeCell ref="B2:G2"/>
    <mergeCell ref="B12:G12"/>
  </mergeCells>
  <phoneticPr fontId="0" type="noConversion"/>
  <pageMargins left="0.75" right="0.75" top="1" bottom="1" header="0.5" footer="0.5"/>
  <pageSetup scale="95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J52"/>
  <sheetViews>
    <sheetView showGridLines="0" zoomScale="95" zoomScaleNormal="95" workbookViewId="0">
      <selection activeCell="H20" sqref="H20"/>
    </sheetView>
  </sheetViews>
  <sheetFormatPr baseColWidth="10" defaultColWidth="8.86328125" defaultRowHeight="12.75" x14ac:dyDescent="0.35"/>
  <cols>
    <col min="1" max="1" width="14.73046875" customWidth="1"/>
    <col min="2" max="2" width="11.3984375" bestFit="1" customWidth="1"/>
    <col min="3" max="5" width="8.265625" bestFit="1" customWidth="1"/>
    <col min="6" max="6" width="11.3984375" customWidth="1"/>
    <col min="8" max="8" width="8.73046875" bestFit="1" customWidth="1"/>
    <col min="9" max="9" width="6.3984375" bestFit="1" customWidth="1"/>
  </cols>
  <sheetData>
    <row r="1" spans="1:10" ht="13.15" thickBot="1" x14ac:dyDescent="0.4">
      <c r="A1" s="1" t="s">
        <v>29</v>
      </c>
    </row>
    <row r="2" spans="1:10" ht="27" customHeight="1" x14ac:dyDescent="0.4">
      <c r="A2" s="18"/>
      <c r="B2" s="128" t="s">
        <v>1</v>
      </c>
      <c r="C2" s="129"/>
      <c r="D2" s="129"/>
      <c r="E2" s="129"/>
      <c r="F2" s="129"/>
      <c r="G2" s="130"/>
      <c r="H2" s="37" t="s">
        <v>2</v>
      </c>
      <c r="I2" s="38" t="s">
        <v>3</v>
      </c>
    </row>
    <row r="3" spans="1:10" ht="13.15" x14ac:dyDescent="0.4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0" t="s">
        <v>11</v>
      </c>
      <c r="I3" s="20" t="s">
        <v>12</v>
      </c>
    </row>
    <row r="4" spans="1:10" x14ac:dyDescent="0.3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10" x14ac:dyDescent="0.3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10" x14ac:dyDescent="0.3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10" x14ac:dyDescent="0.3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10" x14ac:dyDescent="0.3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10" ht="13.15" thickBot="1" x14ac:dyDescent="0.4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  <c r="J9" s="115" t="s">
        <v>46</v>
      </c>
    </row>
    <row r="10" spans="1:10" ht="12.4" customHeight="1" x14ac:dyDescent="0.35">
      <c r="A10" s="2"/>
      <c r="I10" s="115" t="s">
        <v>47</v>
      </c>
    </row>
    <row r="11" spans="1:10" ht="13.15" thickBot="1" x14ac:dyDescent="0.4">
      <c r="A11" s="1" t="s">
        <v>19</v>
      </c>
    </row>
    <row r="12" spans="1:10" ht="12.75" customHeight="1" x14ac:dyDescent="0.4">
      <c r="A12" s="18"/>
      <c r="B12" s="128" t="s">
        <v>20</v>
      </c>
      <c r="C12" s="131"/>
      <c r="D12" s="131"/>
      <c r="E12" s="131"/>
      <c r="F12" s="131"/>
      <c r="G12" s="132"/>
      <c r="H12" s="61" t="s">
        <v>21</v>
      </c>
    </row>
    <row r="13" spans="1:10" x14ac:dyDescent="0.3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10" x14ac:dyDescent="0.35">
      <c r="A14" s="11" t="s">
        <v>13</v>
      </c>
      <c r="B14" s="62">
        <v>0</v>
      </c>
      <c r="C14" s="63">
        <v>8.0000000003028635</v>
      </c>
      <c r="D14" s="63">
        <v>2.0000000000046612</v>
      </c>
      <c r="E14" s="64">
        <v>0</v>
      </c>
      <c r="F14" s="64">
        <v>0</v>
      </c>
      <c r="G14" s="64">
        <v>0</v>
      </c>
      <c r="H14" s="58">
        <v>1</v>
      </c>
      <c r="I14" s="115" t="s">
        <v>35</v>
      </c>
    </row>
    <row r="15" spans="1:10" x14ac:dyDescent="0.35">
      <c r="A15" s="3" t="s">
        <v>14</v>
      </c>
      <c r="B15" s="65">
        <v>0</v>
      </c>
      <c r="C15" s="66">
        <v>0</v>
      </c>
      <c r="D15" s="66">
        <v>0</v>
      </c>
      <c r="E15" s="66">
        <v>6.0000000002271481</v>
      </c>
      <c r="F15" s="66">
        <v>0</v>
      </c>
      <c r="G15" s="67">
        <v>0</v>
      </c>
      <c r="H15" s="59">
        <v>1</v>
      </c>
      <c r="I15" s="115" t="s">
        <v>36</v>
      </c>
    </row>
    <row r="16" spans="1:10" x14ac:dyDescent="0.35">
      <c r="A16" s="3" t="s">
        <v>15</v>
      </c>
      <c r="B16" s="68">
        <v>0</v>
      </c>
      <c r="C16" s="69">
        <v>0</v>
      </c>
      <c r="D16" s="69">
        <v>0</v>
      </c>
      <c r="E16" s="66">
        <v>0</v>
      </c>
      <c r="F16" s="66">
        <v>0</v>
      </c>
      <c r="G16" s="67">
        <v>11.000000000025636</v>
      </c>
      <c r="H16" s="59">
        <v>1</v>
      </c>
      <c r="I16" s="115" t="s">
        <v>37</v>
      </c>
    </row>
    <row r="17" spans="1:9" x14ac:dyDescent="0.35">
      <c r="A17" s="3" t="s">
        <v>16</v>
      </c>
      <c r="B17" s="65">
        <v>10.000000000023306</v>
      </c>
      <c r="C17" s="66">
        <v>0</v>
      </c>
      <c r="D17" s="66">
        <v>12.000000000027967</v>
      </c>
      <c r="E17" s="69">
        <v>0</v>
      </c>
      <c r="F17" s="69">
        <v>0</v>
      </c>
      <c r="G17" s="69">
        <v>0</v>
      </c>
      <c r="H17" s="59">
        <v>1</v>
      </c>
      <c r="I17" s="115" t="s">
        <v>38</v>
      </c>
    </row>
    <row r="18" spans="1:9" ht="13.15" thickBot="1" x14ac:dyDescent="0.4">
      <c r="A18" s="5" t="s">
        <v>17</v>
      </c>
      <c r="B18" s="70">
        <v>0</v>
      </c>
      <c r="C18" s="71">
        <v>0</v>
      </c>
      <c r="D18" s="71">
        <v>0</v>
      </c>
      <c r="E18" s="72">
        <v>0</v>
      </c>
      <c r="F18" s="72">
        <v>7.0000000002650058</v>
      </c>
      <c r="G18" s="72">
        <v>0</v>
      </c>
      <c r="H18" s="60">
        <v>1</v>
      </c>
      <c r="I18" s="115" t="s">
        <v>39</v>
      </c>
    </row>
    <row r="19" spans="1:9" ht="15.75" customHeight="1" x14ac:dyDescent="0.35">
      <c r="B19" s="115" t="s">
        <v>40</v>
      </c>
      <c r="C19" s="115" t="s">
        <v>41</v>
      </c>
      <c r="D19" s="115" t="s">
        <v>42</v>
      </c>
      <c r="E19" s="115" t="s">
        <v>43</v>
      </c>
      <c r="F19" s="115" t="s">
        <v>44</v>
      </c>
      <c r="G19" s="115" t="s">
        <v>45</v>
      </c>
    </row>
    <row r="20" spans="1:9" ht="13.15" thickBot="1" x14ac:dyDescent="0.4">
      <c r="A20" s="1" t="s">
        <v>23</v>
      </c>
    </row>
    <row r="21" spans="1:9" x14ac:dyDescent="0.3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9" x14ac:dyDescent="0.35">
      <c r="A22" s="3" t="s">
        <v>13</v>
      </c>
      <c r="B22" s="73">
        <f>I4*H14-SUM(B14:G14)</f>
        <v>7.9999999996924753</v>
      </c>
      <c r="D22" s="95" t="s">
        <v>30</v>
      </c>
      <c r="E22" s="93"/>
      <c r="F22" s="93"/>
      <c r="G22" s="94">
        <f>SUMPRODUCT(I4:I8,H14:H18)</f>
        <v>122</v>
      </c>
    </row>
    <row r="23" spans="1:9" x14ac:dyDescent="0.35">
      <c r="A23" s="3" t="s">
        <v>14</v>
      </c>
      <c r="B23" s="73">
        <f>I5*H15-SUM(B15:G15)</f>
        <v>17.999999999772854</v>
      </c>
      <c r="G23" s="4"/>
    </row>
    <row r="24" spans="1:9" x14ac:dyDescent="0.35">
      <c r="A24" s="3" t="s">
        <v>15</v>
      </c>
      <c r="B24" s="73">
        <f>I6*H16-SUM(B16:G16)</f>
        <v>15.999999999974364</v>
      </c>
      <c r="G24" s="4"/>
    </row>
    <row r="25" spans="1:9" x14ac:dyDescent="0.35">
      <c r="A25" s="3" t="s">
        <v>16</v>
      </c>
      <c r="B25" s="73">
        <f>I7*H17-SUM(B17:G17)</f>
        <v>-5.1272763812448829E-11</v>
      </c>
      <c r="G25" s="4"/>
    </row>
    <row r="26" spans="1:9" x14ac:dyDescent="0.35">
      <c r="A26" s="3" t="s">
        <v>17</v>
      </c>
      <c r="B26" s="73">
        <f>I8*H18-SUM(B18:G18)</f>
        <v>23.999999999734996</v>
      </c>
      <c r="G26" s="4"/>
    </row>
    <row r="27" spans="1:9" ht="5.25" customHeight="1" x14ac:dyDescent="0.35">
      <c r="A27" s="3"/>
      <c r="B27" s="10"/>
      <c r="G27" s="4"/>
    </row>
    <row r="28" spans="1:9" x14ac:dyDescent="0.3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9" ht="13.15" thickBot="1" x14ac:dyDescent="0.4">
      <c r="A29" s="43" t="s">
        <v>25</v>
      </c>
      <c r="B29" s="74">
        <f>B9-SUM(B14:B18)</f>
        <v>-2.3305801732931286E-11</v>
      </c>
      <c r="C29" s="75">
        <f t="shared" ref="C29:G29" si="0">C9-SUM(C14:C18)</f>
        <v>-3.028635120472245E-10</v>
      </c>
      <c r="D29" s="75">
        <f t="shared" si="0"/>
        <v>-3.2628122426103801E-11</v>
      </c>
      <c r="E29" s="75">
        <f t="shared" si="0"/>
        <v>-2.2714807812462823E-10</v>
      </c>
      <c r="F29" s="75">
        <f t="shared" si="0"/>
        <v>-2.6500579508592637E-10</v>
      </c>
      <c r="G29" s="76">
        <f t="shared" si="0"/>
        <v>-2.5636381906224415E-11</v>
      </c>
    </row>
    <row r="30" spans="1:9" ht="6" customHeight="1" x14ac:dyDescent="0.35"/>
    <row r="31" spans="1:9" ht="13.15" thickBot="1" x14ac:dyDescent="0.4">
      <c r="A31" s="1" t="s">
        <v>26</v>
      </c>
    </row>
    <row r="32" spans="1:9" ht="13.5" thickBot="1" x14ac:dyDescent="0.45">
      <c r="A32" s="41" t="s">
        <v>27</v>
      </c>
      <c r="B32" s="50">
        <f>SUMPRODUCT(B14:G18,B4:G8)+SUMPRODUCT(H14:H18,H4:H8)</f>
        <v>48913.00000027402</v>
      </c>
      <c r="D32" s="108"/>
      <c r="F32" s="111"/>
      <c r="G32" s="109"/>
    </row>
    <row r="33" spans="1:8" ht="13.15" x14ac:dyDescent="0.4">
      <c r="A33" s="115"/>
      <c r="G33" s="107"/>
    </row>
    <row r="38" spans="1:8" x14ac:dyDescent="0.35">
      <c r="A38" s="1"/>
      <c r="B38" s="1"/>
      <c r="C38" s="1"/>
    </row>
    <row r="39" spans="1:8" x14ac:dyDescent="0.35">
      <c r="A39" s="93"/>
    </row>
    <row r="40" spans="1:8" ht="13.9" x14ac:dyDescent="0.4">
      <c r="A40" s="97"/>
      <c r="B40" s="96"/>
      <c r="C40" s="96"/>
      <c r="D40" s="96"/>
      <c r="E40" s="96"/>
    </row>
    <row r="41" spans="1:8" ht="13.9" x14ac:dyDescent="0.4">
      <c r="A41" s="97"/>
      <c r="B41" s="96"/>
      <c r="C41" s="96"/>
      <c r="D41" s="96"/>
      <c r="E41" s="96"/>
    </row>
    <row r="42" spans="1:8" ht="13.9" x14ac:dyDescent="0.4">
      <c r="A42" s="97"/>
      <c r="B42" s="96"/>
      <c r="C42" s="96"/>
      <c r="D42" s="96"/>
    </row>
    <row r="43" spans="1:8" ht="13.9" x14ac:dyDescent="0.4">
      <c r="A43" s="97"/>
      <c r="B43" s="96"/>
      <c r="C43" s="96"/>
      <c r="D43" s="96"/>
    </row>
    <row r="44" spans="1:8" ht="13.9" x14ac:dyDescent="0.4">
      <c r="A44" s="97"/>
      <c r="B44" s="96"/>
      <c r="C44" s="96"/>
      <c r="D44" s="96"/>
      <c r="E44" s="96"/>
      <c r="F44" s="96"/>
    </row>
    <row r="45" spans="1:8" ht="13.9" x14ac:dyDescent="0.4">
      <c r="A45" s="97"/>
      <c r="B45" s="96"/>
      <c r="C45" s="96"/>
      <c r="D45" s="96"/>
      <c r="E45" s="96"/>
      <c r="F45" s="96"/>
      <c r="G45" s="96"/>
      <c r="H45" s="96"/>
    </row>
    <row r="46" spans="1:8" ht="13.9" x14ac:dyDescent="0.4">
      <c r="A46" s="97"/>
      <c r="B46" s="96"/>
      <c r="C46" s="96"/>
      <c r="D46" s="96"/>
      <c r="E46" s="96"/>
      <c r="F46" s="96"/>
      <c r="G46" s="96"/>
    </row>
    <row r="48" spans="1:8" x14ac:dyDescent="0.35">
      <c r="A48" s="93"/>
      <c r="B48" s="93"/>
    </row>
    <row r="49" spans="1:6" ht="13.9" x14ac:dyDescent="0.4">
      <c r="A49" s="97"/>
      <c r="B49" s="96"/>
      <c r="C49" s="96"/>
      <c r="D49" s="96"/>
      <c r="E49" s="96"/>
    </row>
    <row r="50" spans="1:6" ht="13.9" x14ac:dyDescent="0.4">
      <c r="A50" s="97"/>
      <c r="B50" s="96"/>
      <c r="C50" s="96"/>
      <c r="D50" s="96"/>
      <c r="E50" s="96"/>
      <c r="F50" s="96"/>
    </row>
    <row r="52" spans="1:6" x14ac:dyDescent="0.35">
      <c r="A52" s="93"/>
    </row>
  </sheetData>
  <mergeCells count="2">
    <mergeCell ref="B2:G2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K60"/>
  <sheetViews>
    <sheetView showGridLines="0" zoomScale="70" zoomScaleNormal="70" workbookViewId="0">
      <selection activeCell="J41" sqref="J41"/>
    </sheetView>
  </sheetViews>
  <sheetFormatPr baseColWidth="10" defaultColWidth="8.86328125" defaultRowHeight="12.75" x14ac:dyDescent="0.35"/>
  <cols>
    <col min="1" max="1" width="14.73046875" customWidth="1"/>
    <col min="2" max="2" width="11.3984375" bestFit="1" customWidth="1"/>
    <col min="3" max="6" width="8.265625" bestFit="1" customWidth="1"/>
    <col min="7" max="8" width="9.3984375" bestFit="1" customWidth="1"/>
    <col min="9" max="9" width="9.265625" bestFit="1" customWidth="1"/>
  </cols>
  <sheetData>
    <row r="1" spans="1:11" ht="13.15" thickBot="1" x14ac:dyDescent="0.4">
      <c r="A1" s="1" t="s">
        <v>29</v>
      </c>
    </row>
    <row r="2" spans="1:11" ht="27" customHeight="1" x14ac:dyDescent="0.4">
      <c r="A2" s="18"/>
      <c r="B2" s="128" t="s">
        <v>1</v>
      </c>
      <c r="C2" s="129"/>
      <c r="D2" s="129"/>
      <c r="E2" s="129"/>
      <c r="F2" s="129"/>
      <c r="G2" s="130"/>
      <c r="H2" s="37" t="s">
        <v>2</v>
      </c>
      <c r="I2" s="38" t="s">
        <v>3</v>
      </c>
    </row>
    <row r="3" spans="1:11" ht="13.15" x14ac:dyDescent="0.4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0" t="s">
        <v>11</v>
      </c>
      <c r="I3" s="20" t="s">
        <v>12</v>
      </c>
    </row>
    <row r="4" spans="1:11" x14ac:dyDescent="0.35">
      <c r="A4" s="11" t="s">
        <v>13</v>
      </c>
      <c r="B4" s="44">
        <v>1675</v>
      </c>
      <c r="C4" s="45">
        <v>400</v>
      </c>
      <c r="D4" s="45">
        <v>685</v>
      </c>
      <c r="E4" s="45">
        <v>1630</v>
      </c>
      <c r="F4" s="45">
        <v>1160</v>
      </c>
      <c r="G4" s="45">
        <v>2800</v>
      </c>
      <c r="H4" s="46">
        <v>7650</v>
      </c>
      <c r="I4" s="13">
        <v>18</v>
      </c>
    </row>
    <row r="5" spans="1:11" x14ac:dyDescent="0.35">
      <c r="A5" s="3" t="s">
        <v>14</v>
      </c>
      <c r="B5" s="47">
        <v>1460</v>
      </c>
      <c r="C5" s="48">
        <v>1940</v>
      </c>
      <c r="D5" s="48">
        <v>970</v>
      </c>
      <c r="E5" s="48">
        <v>100</v>
      </c>
      <c r="F5" s="48">
        <v>495</v>
      </c>
      <c r="G5" s="48">
        <v>1200</v>
      </c>
      <c r="H5" s="49">
        <v>3500</v>
      </c>
      <c r="I5" s="4">
        <v>24</v>
      </c>
    </row>
    <row r="6" spans="1:11" x14ac:dyDescent="0.35">
      <c r="A6" s="3" t="s">
        <v>15</v>
      </c>
      <c r="B6" s="47">
        <v>1925</v>
      </c>
      <c r="C6" s="48">
        <v>2400</v>
      </c>
      <c r="D6" s="48">
        <v>1425</v>
      </c>
      <c r="E6" s="48">
        <v>500</v>
      </c>
      <c r="F6" s="48">
        <v>950</v>
      </c>
      <c r="G6" s="48">
        <v>800</v>
      </c>
      <c r="H6" s="49">
        <v>5000</v>
      </c>
      <c r="I6" s="4">
        <v>27</v>
      </c>
    </row>
    <row r="7" spans="1:11" x14ac:dyDescent="0.35">
      <c r="A7" s="3" t="s">
        <v>16</v>
      </c>
      <c r="B7" s="47">
        <v>380</v>
      </c>
      <c r="C7" s="48">
        <v>1355</v>
      </c>
      <c r="D7" s="48">
        <v>543</v>
      </c>
      <c r="E7" s="48">
        <v>1045</v>
      </c>
      <c r="F7" s="48">
        <v>665</v>
      </c>
      <c r="G7" s="48">
        <v>2321</v>
      </c>
      <c r="H7" s="49">
        <v>4100</v>
      </c>
      <c r="I7" s="4">
        <v>22</v>
      </c>
    </row>
    <row r="8" spans="1:11" x14ac:dyDescent="0.35">
      <c r="A8" s="3" t="s">
        <v>17</v>
      </c>
      <c r="B8" s="47">
        <v>922</v>
      </c>
      <c r="C8" s="48">
        <v>1646</v>
      </c>
      <c r="D8" s="48">
        <v>700</v>
      </c>
      <c r="E8" s="48">
        <v>508</v>
      </c>
      <c r="F8" s="48">
        <v>311</v>
      </c>
      <c r="G8" s="48">
        <v>1797</v>
      </c>
      <c r="H8" s="49">
        <v>2200</v>
      </c>
      <c r="I8" s="4">
        <v>31</v>
      </c>
    </row>
    <row r="9" spans="1:11" ht="13.15" thickBot="1" x14ac:dyDescent="0.4">
      <c r="A9" s="43" t="s">
        <v>18</v>
      </c>
      <c r="B9" s="17">
        <v>10</v>
      </c>
      <c r="C9" s="6">
        <v>8</v>
      </c>
      <c r="D9" s="6">
        <v>14</v>
      </c>
      <c r="E9" s="6">
        <v>6</v>
      </c>
      <c r="F9" s="6">
        <v>7</v>
      </c>
      <c r="G9" s="6">
        <v>11</v>
      </c>
      <c r="H9" s="15"/>
      <c r="I9" s="7"/>
    </row>
    <row r="10" spans="1:11" ht="5.25" customHeight="1" x14ac:dyDescent="0.35">
      <c r="A10" s="2"/>
    </row>
    <row r="11" spans="1:11" ht="13.5" customHeight="1" thickBot="1" x14ac:dyDescent="0.4">
      <c r="A11" s="1" t="s">
        <v>19</v>
      </c>
    </row>
    <row r="12" spans="1:11" ht="13.5" customHeight="1" x14ac:dyDescent="0.4">
      <c r="A12" s="18"/>
      <c r="B12" s="128" t="s">
        <v>31</v>
      </c>
      <c r="C12" s="131"/>
      <c r="D12" s="131"/>
      <c r="E12" s="131"/>
      <c r="F12" s="131"/>
      <c r="G12" s="132"/>
      <c r="H12" s="61" t="s">
        <v>21</v>
      </c>
    </row>
    <row r="13" spans="1:11" ht="13.5" customHeight="1" x14ac:dyDescent="0.3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  <c r="K13" s="123" t="s">
        <v>33</v>
      </c>
    </row>
    <row r="14" spans="1:11" ht="13.5" customHeight="1" x14ac:dyDescent="0.35">
      <c r="A14" s="11" t="s">
        <v>13</v>
      </c>
      <c r="B14" s="116">
        <v>0</v>
      </c>
      <c r="C14" s="117">
        <v>0</v>
      </c>
      <c r="D14" s="117">
        <v>0</v>
      </c>
      <c r="E14" s="117">
        <v>0</v>
      </c>
      <c r="F14" s="117">
        <v>0</v>
      </c>
      <c r="G14" s="117">
        <v>0</v>
      </c>
      <c r="H14" s="124">
        <v>0</v>
      </c>
      <c r="K14" s="127" t="s">
        <v>34</v>
      </c>
    </row>
    <row r="15" spans="1:11" ht="13.5" customHeight="1" x14ac:dyDescent="0.35">
      <c r="A15" s="3" t="s">
        <v>14</v>
      </c>
      <c r="B15" s="118">
        <v>0</v>
      </c>
      <c r="C15" s="119">
        <v>0</v>
      </c>
      <c r="D15" s="119">
        <v>0</v>
      </c>
      <c r="E15" s="119">
        <v>0</v>
      </c>
      <c r="F15" s="119">
        <v>0</v>
      </c>
      <c r="G15" s="120">
        <v>0</v>
      </c>
      <c r="H15" s="125">
        <v>0</v>
      </c>
    </row>
    <row r="16" spans="1:11" ht="13.5" customHeight="1" x14ac:dyDescent="0.35">
      <c r="A16" s="3" t="s">
        <v>15</v>
      </c>
      <c r="B16" s="118">
        <v>0</v>
      </c>
      <c r="C16" s="119">
        <v>0</v>
      </c>
      <c r="D16" s="119">
        <v>0</v>
      </c>
      <c r="E16" s="119">
        <v>1</v>
      </c>
      <c r="F16" s="119">
        <v>0</v>
      </c>
      <c r="G16" s="120">
        <v>1</v>
      </c>
      <c r="H16" s="125">
        <v>1</v>
      </c>
    </row>
    <row r="17" spans="1:8" ht="13.5" customHeight="1" x14ac:dyDescent="0.35">
      <c r="A17" s="3" t="s">
        <v>16</v>
      </c>
      <c r="B17" s="118">
        <v>1</v>
      </c>
      <c r="C17" s="119">
        <v>1</v>
      </c>
      <c r="D17" s="119">
        <v>0</v>
      </c>
      <c r="E17" s="119">
        <v>0</v>
      </c>
      <c r="F17" s="119">
        <v>0</v>
      </c>
      <c r="G17" s="119">
        <v>0</v>
      </c>
      <c r="H17" s="125">
        <v>1</v>
      </c>
    </row>
    <row r="18" spans="1:8" ht="13.5" customHeight="1" thickBot="1" x14ac:dyDescent="0.4">
      <c r="A18" s="5" t="s">
        <v>17</v>
      </c>
      <c r="B18" s="121">
        <v>0</v>
      </c>
      <c r="C18" s="122">
        <v>0</v>
      </c>
      <c r="D18" s="122">
        <v>1</v>
      </c>
      <c r="E18" s="122">
        <v>0</v>
      </c>
      <c r="F18" s="122">
        <v>1</v>
      </c>
      <c r="G18" s="122">
        <v>0</v>
      </c>
      <c r="H18" s="126">
        <v>1</v>
      </c>
    </row>
    <row r="19" spans="1:8" ht="6" customHeight="1" x14ac:dyDescent="0.35">
      <c r="B19" s="81"/>
      <c r="C19" s="81"/>
      <c r="D19" s="81"/>
      <c r="E19" s="83"/>
      <c r="F19" s="83"/>
      <c r="G19" s="83"/>
      <c r="H19" s="87"/>
    </row>
    <row r="20" spans="1:8" ht="13.15" thickBot="1" x14ac:dyDescent="0.4">
      <c r="A20" s="1" t="s">
        <v>32</v>
      </c>
    </row>
    <row r="21" spans="1:8" ht="12.75" customHeight="1" x14ac:dyDescent="0.35">
      <c r="A21" s="18"/>
      <c r="B21" s="128" t="s">
        <v>20</v>
      </c>
      <c r="C21" s="131"/>
      <c r="D21" s="131"/>
      <c r="E21" s="131"/>
      <c r="F21" s="131"/>
      <c r="G21" s="133"/>
    </row>
    <row r="22" spans="1:8" x14ac:dyDescent="0.35">
      <c r="A22" s="19" t="s">
        <v>4</v>
      </c>
      <c r="B22" s="16" t="s">
        <v>5</v>
      </c>
      <c r="C22" s="14" t="s">
        <v>6</v>
      </c>
      <c r="D22" s="14" t="s">
        <v>7</v>
      </c>
      <c r="E22" s="14" t="s">
        <v>8</v>
      </c>
      <c r="F22" s="14" t="s">
        <v>9</v>
      </c>
      <c r="G22" s="88" t="s">
        <v>10</v>
      </c>
    </row>
    <row r="23" spans="1:8" x14ac:dyDescent="0.35">
      <c r="A23" s="11" t="s">
        <v>13</v>
      </c>
      <c r="B23" s="77">
        <f t="shared" ref="B23:G25" si="0">B14*B$9</f>
        <v>0</v>
      </c>
      <c r="C23" s="78">
        <f t="shared" si="0"/>
        <v>0</v>
      </c>
      <c r="D23" s="78">
        <f t="shared" si="0"/>
        <v>0</v>
      </c>
      <c r="E23" s="79">
        <f t="shared" si="0"/>
        <v>0</v>
      </c>
      <c r="F23" s="79">
        <f t="shared" si="0"/>
        <v>0</v>
      </c>
      <c r="G23" s="89">
        <f t="shared" si="0"/>
        <v>0</v>
      </c>
    </row>
    <row r="24" spans="1:8" x14ac:dyDescent="0.35">
      <c r="A24" s="3" t="s">
        <v>14</v>
      </c>
      <c r="B24" s="80">
        <f t="shared" si="0"/>
        <v>0</v>
      </c>
      <c r="C24" s="81">
        <f t="shared" si="0"/>
        <v>0</v>
      </c>
      <c r="D24" s="81">
        <f t="shared" si="0"/>
        <v>0</v>
      </c>
      <c r="E24" s="81">
        <f t="shared" si="0"/>
        <v>0</v>
      </c>
      <c r="F24" s="81">
        <f t="shared" si="0"/>
        <v>0</v>
      </c>
      <c r="G24" s="90">
        <f t="shared" si="0"/>
        <v>0</v>
      </c>
    </row>
    <row r="25" spans="1:8" x14ac:dyDescent="0.35">
      <c r="A25" s="3" t="s">
        <v>15</v>
      </c>
      <c r="B25" s="82">
        <f t="shared" si="0"/>
        <v>0</v>
      </c>
      <c r="C25" s="83">
        <f t="shared" si="0"/>
        <v>0</v>
      </c>
      <c r="D25" s="83">
        <f t="shared" si="0"/>
        <v>0</v>
      </c>
      <c r="E25" s="81">
        <f t="shared" si="0"/>
        <v>6</v>
      </c>
      <c r="F25" s="81">
        <f t="shared" si="0"/>
        <v>0</v>
      </c>
      <c r="G25" s="90">
        <f t="shared" si="0"/>
        <v>11</v>
      </c>
    </row>
    <row r="26" spans="1:8" x14ac:dyDescent="0.35">
      <c r="A26" s="3" t="s">
        <v>16</v>
      </c>
      <c r="B26" s="80">
        <f t="shared" ref="B26:G27" si="1">B17*B$9</f>
        <v>10</v>
      </c>
      <c r="C26" s="81">
        <f t="shared" si="1"/>
        <v>8</v>
      </c>
      <c r="D26" s="81">
        <f t="shared" si="1"/>
        <v>0</v>
      </c>
      <c r="E26" s="83">
        <f t="shared" si="1"/>
        <v>0</v>
      </c>
      <c r="F26" s="83">
        <f t="shared" si="1"/>
        <v>0</v>
      </c>
      <c r="G26" s="91">
        <f t="shared" si="1"/>
        <v>0</v>
      </c>
    </row>
    <row r="27" spans="1:8" ht="13.15" thickBot="1" x14ac:dyDescent="0.4">
      <c r="A27" s="5" t="s">
        <v>17</v>
      </c>
      <c r="B27" s="84">
        <f t="shared" si="1"/>
        <v>0</v>
      </c>
      <c r="C27" s="85">
        <f t="shared" si="1"/>
        <v>0</v>
      </c>
      <c r="D27" s="85">
        <f t="shared" si="1"/>
        <v>14</v>
      </c>
      <c r="E27" s="86">
        <f t="shared" si="1"/>
        <v>0</v>
      </c>
      <c r="F27" s="86">
        <f t="shared" si="1"/>
        <v>7</v>
      </c>
      <c r="G27" s="92">
        <f t="shared" si="1"/>
        <v>0</v>
      </c>
    </row>
    <row r="28" spans="1:8" ht="6" customHeight="1" x14ac:dyDescent="0.35"/>
    <row r="29" spans="1:8" ht="13.15" thickBot="1" x14ac:dyDescent="0.4">
      <c r="A29" s="1" t="s">
        <v>23</v>
      </c>
    </row>
    <row r="30" spans="1:8" x14ac:dyDescent="0.35">
      <c r="A30" s="27" t="s">
        <v>4</v>
      </c>
      <c r="B30" s="28" t="s">
        <v>24</v>
      </c>
      <c r="C30" s="8"/>
      <c r="D30" s="8"/>
      <c r="E30" s="8"/>
      <c r="F30" s="8"/>
      <c r="G30" s="9"/>
    </row>
    <row r="31" spans="1:8" x14ac:dyDescent="0.35">
      <c r="A31" s="3" t="s">
        <v>13</v>
      </c>
      <c r="B31" s="73">
        <f>I4*H14-SUMPRODUCT(B14:G14,$B$9:$G$9)</f>
        <v>0</v>
      </c>
      <c r="G31" s="4"/>
    </row>
    <row r="32" spans="1:8" x14ac:dyDescent="0.35">
      <c r="A32" s="3" t="s">
        <v>14</v>
      </c>
      <c r="B32" s="73">
        <f>I5*H15-SUMPRODUCT(B15:G15,$B$9:$G$9)</f>
        <v>0</v>
      </c>
      <c r="G32" s="4"/>
    </row>
    <row r="33" spans="1:8" x14ac:dyDescent="0.35">
      <c r="A33" s="3" t="s">
        <v>15</v>
      </c>
      <c r="B33" s="73">
        <f>I6*H16-SUMPRODUCT(B16:G16,$B$9:$G$9)</f>
        <v>10</v>
      </c>
      <c r="G33" s="4"/>
    </row>
    <row r="34" spans="1:8" x14ac:dyDescent="0.35">
      <c r="A34" s="3" t="s">
        <v>16</v>
      </c>
      <c r="B34" s="73">
        <f>I7*H17-SUMPRODUCT(B17:G17,$B$9:$G$9)</f>
        <v>4</v>
      </c>
      <c r="G34" s="4"/>
    </row>
    <row r="35" spans="1:8" x14ac:dyDescent="0.35">
      <c r="A35" s="3" t="s">
        <v>17</v>
      </c>
      <c r="B35" s="73">
        <f>I8*H18-SUMPRODUCT(B18:G18,$B$9:$G$9)</f>
        <v>10</v>
      </c>
      <c r="G35" s="4"/>
    </row>
    <row r="36" spans="1:8" ht="5.25" customHeight="1" x14ac:dyDescent="0.35">
      <c r="A36" s="3"/>
      <c r="B36" s="10"/>
      <c r="G36" s="4"/>
    </row>
    <row r="37" spans="1:8" x14ac:dyDescent="0.35">
      <c r="A37" s="3"/>
      <c r="B37" s="16" t="s">
        <v>5</v>
      </c>
      <c r="C37" s="26" t="s">
        <v>6</v>
      </c>
      <c r="D37" s="26" t="s">
        <v>7</v>
      </c>
      <c r="E37" s="26" t="s">
        <v>8</v>
      </c>
      <c r="F37" s="26" t="s">
        <v>9</v>
      </c>
      <c r="G37" s="29" t="s">
        <v>10</v>
      </c>
    </row>
    <row r="38" spans="1:8" ht="13.15" thickBot="1" x14ac:dyDescent="0.4">
      <c r="A38" s="43" t="s">
        <v>18</v>
      </c>
      <c r="B38" s="74">
        <f t="shared" ref="B38:G38" si="2">SUM(B14:B18)</f>
        <v>1</v>
      </c>
      <c r="C38" s="75">
        <f t="shared" si="2"/>
        <v>1</v>
      </c>
      <c r="D38" s="75">
        <f t="shared" si="2"/>
        <v>1</v>
      </c>
      <c r="E38" s="75">
        <f t="shared" si="2"/>
        <v>1</v>
      </c>
      <c r="F38" s="75">
        <f t="shared" si="2"/>
        <v>1</v>
      </c>
      <c r="G38" s="76">
        <f t="shared" si="2"/>
        <v>1</v>
      </c>
    </row>
    <row r="39" spans="1:8" ht="6" customHeight="1" x14ac:dyDescent="0.35"/>
    <row r="40" spans="1:8" ht="13.15" thickBot="1" x14ac:dyDescent="0.4">
      <c r="A40" s="1" t="s">
        <v>26</v>
      </c>
    </row>
    <row r="41" spans="1:8" ht="13.15" thickBot="1" x14ac:dyDescent="0.4">
      <c r="A41" s="41" t="s">
        <v>27</v>
      </c>
      <c r="B41" s="50">
        <f>SUMPRODUCT(B23:G27,B4:G8)+SUMPRODUCT(H14:H18,H4:H8)</f>
        <v>49717</v>
      </c>
      <c r="H41" s="109"/>
    </row>
    <row r="42" spans="1:8" ht="13.15" x14ac:dyDescent="0.4">
      <c r="A42" s="108"/>
      <c r="B42" s="108"/>
      <c r="C42" s="108"/>
      <c r="D42" s="108"/>
      <c r="E42" s="108"/>
      <c r="F42" s="108"/>
      <c r="G42" s="108"/>
      <c r="H42" s="114"/>
    </row>
    <row r="48" spans="1:8" x14ac:dyDescent="0.35">
      <c r="A48" s="1"/>
      <c r="B48" s="1"/>
    </row>
    <row r="49" spans="1:2" x14ac:dyDescent="0.35">
      <c r="A49" s="93"/>
    </row>
    <row r="50" spans="1:2" ht="13.9" x14ac:dyDescent="0.4">
      <c r="A50" s="97"/>
      <c r="B50" s="96"/>
    </row>
    <row r="51" spans="1:2" ht="13.9" x14ac:dyDescent="0.4">
      <c r="A51" s="97"/>
      <c r="B51" s="96"/>
    </row>
    <row r="52" spans="1:2" ht="13.9" x14ac:dyDescent="0.4">
      <c r="A52" s="97"/>
      <c r="B52" s="96"/>
    </row>
    <row r="53" spans="1:2" ht="13.9" x14ac:dyDescent="0.4">
      <c r="A53" s="97"/>
      <c r="B53" s="96"/>
    </row>
    <row r="54" spans="1:2" ht="13.9" x14ac:dyDescent="0.4">
      <c r="A54" s="97"/>
      <c r="B54" s="96"/>
    </row>
    <row r="55" spans="1:2" ht="13.9" x14ac:dyDescent="0.4">
      <c r="A55" s="97"/>
      <c r="B55" s="96"/>
    </row>
    <row r="56" spans="1:2" ht="13.9" x14ac:dyDescent="0.4">
      <c r="A56" s="97"/>
      <c r="B56" s="96"/>
    </row>
    <row r="58" spans="1:2" x14ac:dyDescent="0.35">
      <c r="A58" s="93"/>
      <c r="B58" s="93"/>
    </row>
    <row r="59" spans="1:2" ht="13.9" x14ac:dyDescent="0.4">
      <c r="A59" s="97"/>
      <c r="B59" s="96"/>
    </row>
    <row r="60" spans="1:2" ht="13.9" x14ac:dyDescent="0.4">
      <c r="A60" s="97"/>
      <c r="B60" s="96"/>
    </row>
  </sheetData>
  <mergeCells count="3">
    <mergeCell ref="B2:G2"/>
    <mergeCell ref="B21:G21"/>
    <mergeCell ref="B12:G12"/>
  </mergeCells>
  <phoneticPr fontId="0" type="noConversion"/>
  <pageMargins left="0.75" right="0.75" top="1" bottom="1" header="0.5" footer="0.5"/>
  <pageSetup orientation="portrait" horizontalDpi="4294967292" r:id="rId1"/>
  <headerFooter alignWithMargins="0">
    <oddHeader>&amp;C&amp;A</oddHeader>
  </headerFooter>
  <rowBreaks count="1" manualBreakCount="1">
    <brk id="47" max="16383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50"/>
  <sheetViews>
    <sheetView showGridLines="0" tabSelected="1" zoomScale="95" zoomScaleNormal="95" workbookViewId="0">
      <selection activeCell="H14" sqref="H14"/>
    </sheetView>
  </sheetViews>
  <sheetFormatPr baseColWidth="10" defaultColWidth="8.86328125" defaultRowHeight="12.75" x14ac:dyDescent="0.35"/>
  <cols>
    <col min="1" max="1" width="14.73046875" customWidth="1"/>
    <col min="2" max="2" width="11.86328125" bestFit="1" customWidth="1"/>
    <col min="3" max="6" width="8.3984375" bestFit="1" customWidth="1"/>
    <col min="7" max="7" width="13" bestFit="1" customWidth="1"/>
    <col min="8" max="8" width="8.73046875" bestFit="1" customWidth="1"/>
    <col min="9" max="9" width="6.3984375" bestFit="1" customWidth="1"/>
  </cols>
  <sheetData>
    <row r="1" spans="1:12" ht="13.15" thickBot="1" x14ac:dyDescent="0.4">
      <c r="A1" s="1" t="s">
        <v>29</v>
      </c>
    </row>
    <row r="2" spans="1:12" ht="27" customHeight="1" x14ac:dyDescent="0.4">
      <c r="A2" s="18"/>
      <c r="B2" s="128" t="s">
        <v>1</v>
      </c>
      <c r="C2" s="129"/>
      <c r="D2" s="129"/>
      <c r="E2" s="129"/>
      <c r="F2" s="129"/>
      <c r="G2" s="130"/>
      <c r="H2" s="37" t="s">
        <v>2</v>
      </c>
      <c r="I2" s="38" t="s">
        <v>3</v>
      </c>
    </row>
    <row r="3" spans="1:12" ht="13.15" x14ac:dyDescent="0.4">
      <c r="A3" s="19" t="s">
        <v>4</v>
      </c>
      <c r="B3" s="16" t="s">
        <v>5</v>
      </c>
      <c r="C3" s="14" t="s">
        <v>6</v>
      </c>
      <c r="D3" s="14" t="s">
        <v>7</v>
      </c>
      <c r="E3" s="14" t="s">
        <v>8</v>
      </c>
      <c r="F3" s="14" t="s">
        <v>9</v>
      </c>
      <c r="G3" s="14" t="s">
        <v>10</v>
      </c>
      <c r="H3" s="110" t="s">
        <v>11</v>
      </c>
      <c r="I3" s="20" t="s">
        <v>12</v>
      </c>
    </row>
    <row r="4" spans="1:12" x14ac:dyDescent="0.35">
      <c r="A4" s="11" t="s">
        <v>13</v>
      </c>
      <c r="B4" s="33">
        <v>955</v>
      </c>
      <c r="C4" s="34">
        <v>1500</v>
      </c>
      <c r="D4" s="34">
        <v>1300</v>
      </c>
      <c r="E4" s="34">
        <v>1630</v>
      </c>
      <c r="F4" s="34">
        <v>1430</v>
      </c>
      <c r="G4" s="34">
        <v>1390</v>
      </c>
      <c r="H4" s="39">
        <v>7650</v>
      </c>
      <c r="I4" s="13">
        <v>20</v>
      </c>
    </row>
    <row r="5" spans="1:12" x14ac:dyDescent="0.35">
      <c r="A5" s="3" t="s">
        <v>14</v>
      </c>
      <c r="B5" s="35">
        <v>1460</v>
      </c>
      <c r="C5" s="36">
        <v>1100</v>
      </c>
      <c r="D5" s="36">
        <v>970</v>
      </c>
      <c r="E5" s="36">
        <v>1200</v>
      </c>
      <c r="F5" s="36">
        <v>1230</v>
      </c>
      <c r="G5" s="36">
        <v>1430</v>
      </c>
      <c r="H5" s="40">
        <v>3500</v>
      </c>
      <c r="I5" s="4">
        <v>18</v>
      </c>
    </row>
    <row r="6" spans="1:12" x14ac:dyDescent="0.35">
      <c r="A6" s="3" t="s">
        <v>15</v>
      </c>
      <c r="B6" s="35">
        <v>380</v>
      </c>
      <c r="C6" s="36">
        <v>1300</v>
      </c>
      <c r="D6" s="36">
        <v>1425</v>
      </c>
      <c r="E6" s="36">
        <v>890</v>
      </c>
      <c r="F6" s="36">
        <v>950</v>
      </c>
      <c r="G6" s="36">
        <v>1150</v>
      </c>
      <c r="H6" s="40">
        <v>5000</v>
      </c>
      <c r="I6" s="4">
        <v>15</v>
      </c>
    </row>
    <row r="7" spans="1:12" x14ac:dyDescent="0.35">
      <c r="A7" s="3" t="s">
        <v>16</v>
      </c>
      <c r="B7" s="35">
        <v>555</v>
      </c>
      <c r="C7" s="36">
        <v>900</v>
      </c>
      <c r="D7" s="36">
        <v>650</v>
      </c>
      <c r="E7" s="36">
        <v>750</v>
      </c>
      <c r="F7" s="36">
        <v>665</v>
      </c>
      <c r="G7" s="36">
        <v>1150</v>
      </c>
      <c r="H7" s="40">
        <v>4100</v>
      </c>
      <c r="I7" s="4">
        <v>25</v>
      </c>
    </row>
    <row r="8" spans="1:12" x14ac:dyDescent="0.35">
      <c r="A8" s="3" t="s">
        <v>17</v>
      </c>
      <c r="B8" s="35">
        <v>600</v>
      </c>
      <c r="C8" s="36">
        <v>480</v>
      </c>
      <c r="D8" s="36">
        <v>700</v>
      </c>
      <c r="E8" s="36">
        <v>670</v>
      </c>
      <c r="F8" s="36">
        <v>720</v>
      </c>
      <c r="G8" s="36">
        <v>940</v>
      </c>
      <c r="H8" s="40">
        <v>2200</v>
      </c>
      <c r="I8" s="4">
        <v>17</v>
      </c>
    </row>
    <row r="9" spans="1:12" ht="13.15" thickBot="1" x14ac:dyDescent="0.4">
      <c r="A9" s="43" t="s">
        <v>18</v>
      </c>
      <c r="B9" s="150">
        <v>10</v>
      </c>
      <c r="C9" s="151">
        <v>8</v>
      </c>
      <c r="D9" s="151">
        <v>14</v>
      </c>
      <c r="E9" s="151">
        <v>6</v>
      </c>
      <c r="F9" s="151">
        <v>12</v>
      </c>
      <c r="G9" s="151">
        <v>11</v>
      </c>
      <c r="H9" s="15"/>
      <c r="I9" s="7"/>
      <c r="J9" s="115" t="s">
        <v>46</v>
      </c>
    </row>
    <row r="10" spans="1:12" ht="13.15" customHeight="1" x14ac:dyDescent="0.35">
      <c r="A10" s="2"/>
      <c r="I10" s="115" t="s">
        <v>47</v>
      </c>
      <c r="L10" s="134" t="s">
        <v>48</v>
      </c>
    </row>
    <row r="11" spans="1:12" ht="13.15" thickBot="1" x14ac:dyDescent="0.4">
      <c r="A11" s="1" t="s">
        <v>19</v>
      </c>
      <c r="L11" s="135" t="s">
        <v>49</v>
      </c>
    </row>
    <row r="12" spans="1:12" ht="12.75" customHeight="1" x14ac:dyDescent="0.4">
      <c r="A12" s="18"/>
      <c r="B12" s="128" t="s">
        <v>20</v>
      </c>
      <c r="C12" s="131"/>
      <c r="D12" s="131"/>
      <c r="E12" s="131"/>
      <c r="F12" s="131"/>
      <c r="G12" s="132"/>
      <c r="H12" s="61" t="s">
        <v>21</v>
      </c>
      <c r="L12" s="147" t="s">
        <v>50</v>
      </c>
    </row>
    <row r="13" spans="1:12" x14ac:dyDescent="0.35">
      <c r="A13" s="19" t="s">
        <v>4</v>
      </c>
      <c r="B13" s="16" t="s">
        <v>5</v>
      </c>
      <c r="C13" s="14" t="s">
        <v>6</v>
      </c>
      <c r="D13" s="14" t="s">
        <v>7</v>
      </c>
      <c r="E13" s="14" t="s">
        <v>8</v>
      </c>
      <c r="F13" s="14" t="s">
        <v>9</v>
      </c>
      <c r="G13" s="14" t="s">
        <v>10</v>
      </c>
      <c r="H13" s="22" t="s">
        <v>22</v>
      </c>
    </row>
    <row r="14" spans="1:12" x14ac:dyDescent="0.35">
      <c r="A14" s="11" t="s">
        <v>13</v>
      </c>
      <c r="B14" s="137">
        <v>0</v>
      </c>
      <c r="C14" s="138">
        <v>0</v>
      </c>
      <c r="D14" s="138">
        <v>0</v>
      </c>
      <c r="E14" s="138">
        <v>0</v>
      </c>
      <c r="F14" s="138">
        <v>0</v>
      </c>
      <c r="G14" s="138">
        <v>3.9999999999999933</v>
      </c>
      <c r="H14" s="124">
        <v>1</v>
      </c>
    </row>
    <row r="15" spans="1:12" x14ac:dyDescent="0.35">
      <c r="A15" s="3" t="s">
        <v>14</v>
      </c>
      <c r="B15" s="139">
        <v>0</v>
      </c>
      <c r="C15" s="140">
        <v>0</v>
      </c>
      <c r="D15" s="140">
        <v>0</v>
      </c>
      <c r="E15" s="140">
        <v>0</v>
      </c>
      <c r="F15" s="140">
        <v>0</v>
      </c>
      <c r="G15" s="141">
        <v>0</v>
      </c>
      <c r="H15" s="125">
        <v>0</v>
      </c>
    </row>
    <row r="16" spans="1:12" x14ac:dyDescent="0.35">
      <c r="A16" s="3" t="s">
        <v>15</v>
      </c>
      <c r="B16" s="139">
        <v>9.9999999999999964</v>
      </c>
      <c r="C16" s="140">
        <v>0</v>
      </c>
      <c r="D16" s="140">
        <v>0</v>
      </c>
      <c r="E16" s="140">
        <v>0</v>
      </c>
      <c r="F16" s="140">
        <v>0</v>
      </c>
      <c r="G16" s="141">
        <v>5.0000000000000027</v>
      </c>
      <c r="H16" s="125">
        <v>1</v>
      </c>
    </row>
    <row r="17" spans="1:8" x14ac:dyDescent="0.35">
      <c r="A17" s="3" t="s">
        <v>16</v>
      </c>
      <c r="B17" s="139">
        <v>0</v>
      </c>
      <c r="C17" s="140">
        <v>0</v>
      </c>
      <c r="D17" s="140">
        <v>13</v>
      </c>
      <c r="E17" s="140">
        <v>0</v>
      </c>
      <c r="F17" s="140">
        <v>12</v>
      </c>
      <c r="G17" s="140">
        <v>0</v>
      </c>
      <c r="H17" s="125">
        <v>1</v>
      </c>
    </row>
    <row r="18" spans="1:8" ht="13.15" thickBot="1" x14ac:dyDescent="0.4">
      <c r="A18" s="5" t="s">
        <v>17</v>
      </c>
      <c r="B18" s="142">
        <v>0</v>
      </c>
      <c r="C18" s="143">
        <v>8.0000000000000018</v>
      </c>
      <c r="D18" s="143">
        <v>0.99999999999999745</v>
      </c>
      <c r="E18" s="143">
        <v>6.0000000000000009</v>
      </c>
      <c r="F18" s="143">
        <v>0</v>
      </c>
      <c r="G18" s="143">
        <v>1.9999999999999964</v>
      </c>
      <c r="H18" s="126">
        <v>1</v>
      </c>
    </row>
    <row r="19" spans="1:8" ht="6" customHeight="1" x14ac:dyDescent="0.35"/>
    <row r="20" spans="1:8" ht="13.15" thickBot="1" x14ac:dyDescent="0.4">
      <c r="A20" s="1" t="s">
        <v>23</v>
      </c>
    </row>
    <row r="21" spans="1:8" x14ac:dyDescent="0.35">
      <c r="A21" s="27" t="s">
        <v>4</v>
      </c>
      <c r="B21" s="28" t="s">
        <v>24</v>
      </c>
      <c r="C21" s="8"/>
      <c r="D21" s="8"/>
      <c r="E21" s="8"/>
      <c r="F21" s="8"/>
      <c r="G21" s="9"/>
    </row>
    <row r="22" spans="1:8" x14ac:dyDescent="0.35">
      <c r="A22" s="3" t="s">
        <v>13</v>
      </c>
      <c r="B22" s="136">
        <f>I4*H14-SUM(B14:G14)</f>
        <v>16.000000000000007</v>
      </c>
      <c r="G22" s="4"/>
      <c r="H22" s="149" t="s">
        <v>52</v>
      </c>
    </row>
    <row r="23" spans="1:8" x14ac:dyDescent="0.35">
      <c r="A23" s="3" t="s">
        <v>14</v>
      </c>
      <c r="B23" s="136">
        <f>I5*H15-SUM(B15:G15)</f>
        <v>0</v>
      </c>
      <c r="G23" s="4"/>
      <c r="H23" s="148"/>
    </row>
    <row r="24" spans="1:8" x14ac:dyDescent="0.35">
      <c r="A24" s="3" t="s">
        <v>15</v>
      </c>
      <c r="B24" s="136">
        <f>I6*H16-SUM(B16:G16)</f>
        <v>0</v>
      </c>
      <c r="G24" s="4"/>
      <c r="H24" s="148"/>
    </row>
    <row r="25" spans="1:8" x14ac:dyDescent="0.35">
      <c r="A25" s="3" t="s">
        <v>16</v>
      </c>
      <c r="B25" s="136">
        <f>I7*H17-SUM(B17:G17)</f>
        <v>0</v>
      </c>
      <c r="G25" s="4"/>
      <c r="H25" s="148"/>
    </row>
    <row r="26" spans="1:8" x14ac:dyDescent="0.35">
      <c r="A26" s="3" t="s">
        <v>17</v>
      </c>
      <c r="B26" s="136">
        <f>I8*H18-SUM(B18:G18)</f>
        <v>0</v>
      </c>
      <c r="G26" s="4"/>
      <c r="H26" s="148"/>
    </row>
    <row r="27" spans="1:8" ht="5.25" customHeight="1" x14ac:dyDescent="0.35">
      <c r="A27" s="3"/>
      <c r="B27" s="10"/>
      <c r="G27" s="4"/>
    </row>
    <row r="28" spans="1:8" x14ac:dyDescent="0.35">
      <c r="A28" s="3"/>
      <c r="B28" s="16" t="s">
        <v>5</v>
      </c>
      <c r="C28" s="26" t="s">
        <v>6</v>
      </c>
      <c r="D28" s="26" t="s">
        <v>7</v>
      </c>
      <c r="E28" s="26" t="s">
        <v>8</v>
      </c>
      <c r="F28" s="26" t="s">
        <v>9</v>
      </c>
      <c r="G28" s="29" t="s">
        <v>10</v>
      </c>
    </row>
    <row r="29" spans="1:8" ht="13.15" thickBot="1" x14ac:dyDescent="0.4">
      <c r="A29" s="43" t="s">
        <v>25</v>
      </c>
      <c r="B29" s="144">
        <f t="shared" ref="B29:G29" si="0">B9-SUM(B14:B18)</f>
        <v>0</v>
      </c>
      <c r="C29" s="145">
        <f t="shared" si="0"/>
        <v>0</v>
      </c>
      <c r="D29" s="145">
        <f t="shared" si="0"/>
        <v>0</v>
      </c>
      <c r="E29" s="145">
        <f t="shared" si="0"/>
        <v>0</v>
      </c>
      <c r="F29" s="145">
        <f t="shared" si="0"/>
        <v>0</v>
      </c>
      <c r="G29" s="146">
        <f t="shared" si="0"/>
        <v>0</v>
      </c>
      <c r="H29" s="115" t="s">
        <v>51</v>
      </c>
    </row>
    <row r="30" spans="1:8" ht="6" customHeight="1" x14ac:dyDescent="0.35"/>
    <row r="31" spans="1:8" ht="13.15" thickBot="1" x14ac:dyDescent="0.4">
      <c r="A31" s="1" t="s">
        <v>26</v>
      </c>
    </row>
    <row r="32" spans="1:8" ht="13.15" thickBot="1" x14ac:dyDescent="0.4">
      <c r="A32" s="41" t="s">
        <v>27</v>
      </c>
      <c r="B32" s="50">
        <f>SUMPRODUCT(B14:G18,B4:G8)+SUMPRODUCT(H14:H18,H4:H8)</f>
        <v>60929.999999999993</v>
      </c>
      <c r="G32" s="109"/>
    </row>
    <row r="33" spans="1:7" ht="13.15" x14ac:dyDescent="0.4">
      <c r="A33" s="108"/>
      <c r="G33" s="107"/>
    </row>
    <row r="38" spans="1:7" x14ac:dyDescent="0.35">
      <c r="A38" s="1"/>
      <c r="B38" s="1"/>
    </row>
    <row r="39" spans="1:7" x14ac:dyDescent="0.35">
      <c r="A39" s="93"/>
    </row>
    <row r="40" spans="1:7" ht="13.9" x14ac:dyDescent="0.4">
      <c r="A40" s="97"/>
      <c r="B40" s="96"/>
    </row>
    <row r="41" spans="1:7" ht="13.9" x14ac:dyDescent="0.4">
      <c r="A41" s="97"/>
      <c r="B41" s="96"/>
    </row>
    <row r="42" spans="1:7" ht="13.9" x14ac:dyDescent="0.4">
      <c r="A42" s="97"/>
      <c r="B42" s="96"/>
    </row>
    <row r="43" spans="1:7" ht="13.9" x14ac:dyDescent="0.4">
      <c r="A43" s="97"/>
      <c r="B43" s="96"/>
    </row>
    <row r="44" spans="1:7" ht="13.9" x14ac:dyDescent="0.4">
      <c r="A44" s="97"/>
      <c r="B44" s="96"/>
    </row>
    <row r="45" spans="1:7" ht="13.9" x14ac:dyDescent="0.4">
      <c r="A45" s="97"/>
      <c r="B45" s="96"/>
    </row>
    <row r="46" spans="1:7" ht="13.9" x14ac:dyDescent="0.4">
      <c r="A46" s="97"/>
      <c r="B46" s="96"/>
    </row>
    <row r="48" spans="1:7" x14ac:dyDescent="0.35">
      <c r="A48" s="93"/>
      <c r="B48" s="93"/>
    </row>
    <row r="49" spans="1:2" ht="13.9" x14ac:dyDescent="0.4">
      <c r="A49" s="97"/>
      <c r="B49" s="96"/>
    </row>
    <row r="50" spans="1:2" ht="13.9" x14ac:dyDescent="0.4">
      <c r="A50" s="97"/>
      <c r="B50" s="96"/>
    </row>
  </sheetData>
  <mergeCells count="3">
    <mergeCell ref="B2:G2"/>
    <mergeCell ref="B12:G12"/>
    <mergeCell ref="H22:H26"/>
  </mergeCells>
  <phoneticPr fontId="0" type="noConversion"/>
  <pageMargins left="0.75" right="0.75" top="1" bottom="1" header="0.5" footer="0.5"/>
  <pageSetup scale="96" orientation="portrait" horizontalDpi="4294967292" r:id="rId1"/>
  <headerFooter alignWithMargins="0">
    <oddHeader>&amp;C&amp;A</oddHeader>
  </headerFooter>
  <rowBreaks count="1" manualBreakCount="1">
    <brk id="37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BE2E2668F19C41B4D65B3E5A8A5941" ma:contentTypeVersion="11" ma:contentTypeDescription="Crée un document." ma:contentTypeScope="" ma:versionID="7e95f615bbc9302d793f16d5b0e9e329">
  <xsd:schema xmlns:xsd="http://www.w3.org/2001/XMLSchema" xmlns:xs="http://www.w3.org/2001/XMLSchema" xmlns:p="http://schemas.microsoft.com/office/2006/metadata/properties" xmlns:ns2="a5937f9d-7e65-4acd-81f8-ebbf17220de2" xmlns:ns3="07512dc9-2fd2-42d8-b770-d89700c70ea3" targetNamespace="http://schemas.microsoft.com/office/2006/metadata/properties" ma:root="true" ma:fieldsID="3639192e07a0932f28ce6125fd1f849d" ns2:_="" ns3:_="">
    <xsd:import namespace="a5937f9d-7e65-4acd-81f8-ebbf17220de2"/>
    <xsd:import namespace="07512dc9-2fd2-42d8-b770-d89700c70e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937f9d-7e65-4acd-81f8-ebbf17220d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Balises d’images" ma:readOnly="false" ma:fieldId="{5cf76f15-5ced-4ddc-b409-7134ff3c332f}" ma:taxonomyMulti="true" ma:sspId="a574ef16-3a30-4beb-bd52-58ad4342100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7512dc9-2fd2-42d8-b770-d89700c70ea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8c54c7e-2104-41a9-bfbc-2836e1414a9c}" ma:internalName="TaxCatchAll" ma:showField="CatchAllData" ma:web="07512dc9-2fd2-42d8-b770-d89700c70ea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7512dc9-2fd2-42d8-b770-d89700c70ea3" xsi:nil="true"/>
    <lcf76f155ced4ddcb4097134ff3c332f xmlns="a5937f9d-7e65-4acd-81f8-ebbf17220de2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87D36DA-734A-4D88-B1E9-DF913CB33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5937f9d-7e65-4acd-81f8-ebbf17220de2"/>
    <ds:schemaRef ds:uri="07512dc9-2fd2-42d8-b770-d89700c70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730453B-FA04-47BA-9FB1-D6C47C5F91E0}">
  <ds:schemaRefs>
    <ds:schemaRef ds:uri="http://schemas.microsoft.com/office/2006/metadata/properties"/>
    <ds:schemaRef ds:uri="http://schemas.microsoft.com/office/infopath/2007/PartnerControls"/>
    <ds:schemaRef ds:uri="07512dc9-2fd2-42d8-b770-d89700c70ea3"/>
    <ds:schemaRef ds:uri="a5937f9d-7e65-4acd-81f8-ebbf17220de2"/>
  </ds:schemaRefs>
</ds:datastoreItem>
</file>

<file path=customXml/itemProps3.xml><?xml version="1.0" encoding="utf-8"?>
<ds:datastoreItem xmlns:ds="http://schemas.openxmlformats.org/officeDocument/2006/customXml" ds:itemID="{24E00030-0F6D-4368-BD86-1FD5925979E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1</vt:i4>
      </vt:variant>
    </vt:vector>
  </HeadingPairs>
  <TitlesOfParts>
    <vt:vector size="6" baseType="lpstr">
      <vt:lpstr>HighOptic</vt:lpstr>
      <vt:lpstr>TelecomOne</vt:lpstr>
      <vt:lpstr>Capacitated Plant Location</vt:lpstr>
      <vt:lpstr>Single-sourcing</vt:lpstr>
      <vt:lpstr>Optimal - Capacitated plant loc</vt:lpstr>
      <vt:lpstr>HighOptic!Zone_d_impression</vt:lpstr>
    </vt:vector>
  </TitlesOfParts>
  <Manager/>
  <Company>Kellogg Graduate School of Management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Sunil Chopra</dc:creator>
  <cp:keywords/>
  <dc:description/>
  <cp:lastModifiedBy>HUMBLET Raphaël</cp:lastModifiedBy>
  <cp:revision/>
  <dcterms:created xsi:type="dcterms:W3CDTF">1999-02-07T23:04:46Z</dcterms:created>
  <dcterms:modified xsi:type="dcterms:W3CDTF">2025-01-20T16:27:00Z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0x010100E5BE2E2668F19C41B4D65B3E5A8A5941</vt:lpwstr>
  </property>
</Properties>
</file>