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niversitelibrebruxelles-my.sharepoint.com/personal/raphael_humblet_ulb_be/Documents/ULB/MA2/ULB-GEST-H501/Exercices/Block 6/"/>
    </mc:Choice>
  </mc:AlternateContent>
  <xr:revisionPtr revIDLastSave="25282" documentId="13_ncr:1_{F4F600C9-5096-9B44-B459-D23B2E876E03}" xr6:coauthVersionLast="47" xr6:coauthVersionMax="47" xr10:uidLastSave="{9406A5B6-0D9E-44B5-AB29-6839B91D1607}"/>
  <bookViews>
    <workbookView xWindow="-120" yWindow="-120" windowWidth="29040" windowHeight="15720" activeTab="1" xr2:uid="{00000000-000D-0000-FFFF-FFFF00000000}"/>
  </bookViews>
  <sheets>
    <sheet name="Demand-to-prod-facilities" sheetId="3" r:id="rId1"/>
    <sheet name="Single Sourcing" sheetId="4" r:id="rId2"/>
  </sheets>
  <definedNames>
    <definedName name="_xlnm.Print_Area" localSheetId="0">'Demand-to-prod-facilities'!$A$1:$I$70</definedName>
    <definedName name="solver_adj" localSheetId="0" hidden="1">'Demand-to-prod-facilities'!$B$14:$G$18</definedName>
    <definedName name="solver_adj" localSheetId="1" hidden="1">'Single Sourcing'!$B$14:$H$18</definedName>
    <definedName name="solver_cvg" localSheetId="0" hidden="1">0.001</definedName>
    <definedName name="solver_cvg" localSheetId="1" hidden="1">0.0001</definedName>
    <definedName name="solver_drv" localSheetId="0" hidden="1">1</definedName>
    <definedName name="solver_drv" localSheetId="1" hidden="1">1</definedName>
    <definedName name="solver_dua" localSheetId="0" hidden="1">1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est" localSheetId="1" hidden="1">1</definedName>
    <definedName name="solver_ibd" localSheetId="0" hidden="1">2</definedName>
    <definedName name="solver_itr" localSheetId="0" hidden="1">100</definedName>
    <definedName name="solver_itr" localSheetId="1" hidden="1">2147483647</definedName>
    <definedName name="solver_lhs1" localSheetId="0" hidden="1">'Demand-to-prod-facilities'!$B$14:$G$18</definedName>
    <definedName name="solver_lhs1" localSheetId="1" hidden="1">'Single Sourcing'!$B$14:$H$18</definedName>
    <definedName name="solver_lhs2" localSheetId="0" hidden="1">'Demand-to-prod-facilities'!$B$31:$B$35</definedName>
    <definedName name="solver_lhs2" localSheetId="1" hidden="1">'Single Sourcing'!$B$31:$B$36</definedName>
    <definedName name="solver_lhs3" localSheetId="0" hidden="1">'Demand-to-prod-facilities'!$B$38:$G$38</definedName>
    <definedName name="solver_lhs3" localSheetId="1" hidden="1">'Single Sourcing'!$B$38:$G$38</definedName>
    <definedName name="solver_lhs4" localSheetId="0" hidden="1">'Demand-to-prod-facilities'!$E$38:$G$38</definedName>
    <definedName name="solver_lhs5" localSheetId="0" hidden="1">'Demand-to-prod-facilities'!$B$33</definedName>
    <definedName name="solver_lhs6" localSheetId="0" hidden="1">'Demand-to-prod-facilities'!$E$38:$G$38</definedName>
    <definedName name="solver_lin" localSheetId="0" hidden="1">2</definedName>
    <definedName name="solver_lva" localSheetId="0" hidden="1">2</definedName>
    <definedName name="solver_mip" localSheetId="0" hidden="1">1000</definedName>
    <definedName name="solver_mip" localSheetId="1" hidden="1">2147483647</definedName>
    <definedName name="solver_mni" localSheetId="0" hidden="1">30</definedName>
    <definedName name="solver_mni" localSheetId="1" hidden="1">30</definedName>
    <definedName name="solver_mrt" localSheetId="0" hidden="1">0.075</definedName>
    <definedName name="solver_mrt" localSheetId="1" hidden="1">0.075</definedName>
    <definedName name="solver_msl" localSheetId="0" hidden="1">2</definedName>
    <definedName name="solver_msl" localSheetId="1" hidden="1">2</definedName>
    <definedName name="solver_neg" localSheetId="0" hidden="1">2</definedName>
    <definedName name="solver_neg" localSheetId="1" hidden="1">1</definedName>
    <definedName name="solver_nod" localSheetId="0" hidden="1">1000</definedName>
    <definedName name="solver_nod" localSheetId="1" hidden="1">2147483647</definedName>
    <definedName name="solver_num" localSheetId="0" hidden="1">3</definedName>
    <definedName name="solver_num" localSheetId="1" hidden="1">3</definedName>
    <definedName name="solver_nwt" localSheetId="0" hidden="1">1</definedName>
    <definedName name="solver_nwt" localSheetId="1" hidden="1">1</definedName>
    <definedName name="solver_ofx" localSheetId="0" hidden="1">2</definedName>
    <definedName name="solver_opt" localSheetId="0" hidden="1">'Demand-to-prod-facilities'!$B$41</definedName>
    <definedName name="solver_opt" localSheetId="1" hidden="1">'Single Sourcing'!$B$41</definedName>
    <definedName name="solver_pre" localSheetId="0" hidden="1">0.000001</definedName>
    <definedName name="solver_pre" localSheetId="1" hidden="1">0.000001</definedName>
    <definedName name="solver_pro" localSheetId="0" hidden="1">2</definedName>
    <definedName name="solver_rbv" localSheetId="0" hidden="1">1</definedName>
    <definedName name="solver_rbv" localSheetId="1" hidden="1">1</definedName>
    <definedName name="solver_rel1" localSheetId="0" hidden="1">3</definedName>
    <definedName name="solver_rel1" localSheetId="1" hidden="1">5</definedName>
    <definedName name="solver_rel2" localSheetId="0" hidden="1">3</definedName>
    <definedName name="solver_rel2" localSheetId="1" hidden="1">3</definedName>
    <definedName name="solver_rel3" localSheetId="0" hidden="1">1</definedName>
    <definedName name="solver_rel3" localSheetId="1" hidden="1">2</definedName>
    <definedName name="solver_rel4" localSheetId="0" hidden="1">2</definedName>
    <definedName name="solver_rel5" localSheetId="0" hidden="1">3</definedName>
    <definedName name="solver_rel6" localSheetId="0" hidden="1">2</definedName>
    <definedName name="solver_reo" localSheetId="0" hidden="1">2</definedName>
    <definedName name="solver_rep" localSheetId="0" hidden="1">2</definedName>
    <definedName name="solver_rhs1" localSheetId="0" hidden="1">0</definedName>
    <definedName name="solver_rhs1" localSheetId="1" hidden="1">"binaire"</definedName>
    <definedName name="solver_rhs2" localSheetId="0" hidden="1">0</definedName>
    <definedName name="solver_rhs2" localSheetId="1" hidden="1">0</definedName>
    <definedName name="solver_rhs3" localSheetId="0" hidden="1">0</definedName>
    <definedName name="solver_rhs3" localSheetId="1" hidden="1">1</definedName>
    <definedName name="solver_rhs4" localSheetId="0" hidden="1">0</definedName>
    <definedName name="solver_rhs5" localSheetId="0" hidden="1">0</definedName>
    <definedName name="solver_rhs6" localSheetId="0" hidden="1">0</definedName>
    <definedName name="solver_rlx" localSheetId="0" hidden="1">2</definedName>
    <definedName name="solver_rlx" localSheetId="1" hidden="1">2</definedName>
    <definedName name="solver_rsd" localSheetId="0" hidden="1">0</definedName>
    <definedName name="solver_rsd" localSheetId="1" hidden="1">0</definedName>
    <definedName name="solver_scl" localSheetId="0" hidden="1">2</definedName>
    <definedName name="solver_scl" localSheetId="1" hidden="1">1</definedName>
    <definedName name="solver_sho" localSheetId="0" hidden="1">2</definedName>
    <definedName name="solver_sho" localSheetId="1" hidden="1">2</definedName>
    <definedName name="solver_ssz" localSheetId="0" hidden="1">0</definedName>
    <definedName name="solver_ssz" localSheetId="1" hidden="1">100</definedName>
    <definedName name="solver_tim" localSheetId="0" hidden="1">100</definedName>
    <definedName name="solver_tim" localSheetId="1" hidden="1">2147483647</definedName>
    <definedName name="solver_tms" localSheetId="0" hidden="1">2</definedName>
    <definedName name="solver_tol" localSheetId="0" hidden="1">0.05</definedName>
    <definedName name="solver_tol" localSheetId="1" hidden="1">0.01</definedName>
    <definedName name="solver_typ" localSheetId="0" hidden="1">2</definedName>
    <definedName name="solver_typ" localSheetId="1" hidden="1">2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1" i="3" l="1"/>
  <c r="B23" i="3"/>
  <c r="B41" i="3"/>
  <c r="B38" i="4"/>
  <c r="C38" i="4"/>
  <c r="D38" i="4"/>
  <c r="E38" i="4"/>
  <c r="F38" i="4"/>
  <c r="G38" i="4"/>
  <c r="B36" i="4"/>
  <c r="B35" i="4"/>
  <c r="B34" i="4"/>
  <c r="B33" i="4"/>
  <c r="B32" i="4"/>
  <c r="B31" i="4"/>
  <c r="C23" i="4"/>
  <c r="B25" i="4"/>
  <c r="B26" i="4"/>
  <c r="B27" i="4"/>
  <c r="B24" i="4"/>
  <c r="B23" i="4"/>
  <c r="G27" i="4"/>
  <c r="F27" i="4"/>
  <c r="E27" i="4"/>
  <c r="D27" i="4"/>
  <c r="C27" i="4"/>
  <c r="G26" i="4"/>
  <c r="F26" i="4"/>
  <c r="E26" i="4"/>
  <c r="D26" i="4"/>
  <c r="C26" i="4"/>
  <c r="G25" i="4"/>
  <c r="F25" i="4"/>
  <c r="E25" i="4"/>
  <c r="D25" i="4"/>
  <c r="C25" i="4"/>
  <c r="G24" i="4"/>
  <c r="F24" i="4"/>
  <c r="E24" i="4"/>
  <c r="D24" i="4"/>
  <c r="C24" i="4"/>
  <c r="G23" i="4"/>
  <c r="F23" i="4"/>
  <c r="E23" i="4"/>
  <c r="D23" i="4"/>
  <c r="C38" i="3"/>
  <c r="D38" i="3"/>
  <c r="E38" i="3"/>
  <c r="F38" i="3"/>
  <c r="G38" i="3"/>
  <c r="B38" i="3"/>
  <c r="B32" i="3"/>
  <c r="B33" i="3"/>
  <c r="B34" i="3"/>
  <c r="B35" i="3"/>
  <c r="B36" i="3"/>
  <c r="B26" i="3"/>
  <c r="B24" i="3"/>
  <c r="G27" i="3"/>
  <c r="G23" i="3"/>
  <c r="F23" i="3"/>
  <c r="B25" i="3"/>
  <c r="B27" i="3"/>
  <c r="F27" i="3"/>
  <c r="E27" i="3"/>
  <c r="D27" i="3"/>
  <c r="C27" i="3"/>
  <c r="G26" i="3"/>
  <c r="F26" i="3"/>
  <c r="E26" i="3"/>
  <c r="D26" i="3"/>
  <c r="C26" i="3"/>
  <c r="G25" i="3"/>
  <c r="F25" i="3"/>
  <c r="E25" i="3"/>
  <c r="D25" i="3"/>
  <c r="C25" i="3"/>
  <c r="G24" i="3"/>
  <c r="F24" i="3"/>
  <c r="E24" i="3"/>
  <c r="D24" i="3"/>
  <c r="C24" i="3"/>
  <c r="E23" i="3"/>
  <c r="D23" i="3"/>
  <c r="C23" i="3"/>
  <c r="B41" i="4" l="1"/>
</calcChain>
</file>

<file path=xl/sharedStrings.xml><?xml version="1.0" encoding="utf-8"?>
<sst xmlns="http://schemas.openxmlformats.org/spreadsheetml/2006/main" count="144" uniqueCount="41">
  <si>
    <t>Inputs - Costs, Capacities, Demands (HighOptic &amp; TelecomOne &gt;&gt; merged as TelecomOptic)</t>
  </si>
  <si>
    <t>Demand City
Production and Transportation Cost per 1000 Units</t>
  </si>
  <si>
    <t xml:space="preserve">Fixed </t>
  </si>
  <si>
    <t>Capacity</t>
  </si>
  <si>
    <t>Supply City</t>
  </si>
  <si>
    <t>Atlanta</t>
  </si>
  <si>
    <t>Boston</t>
  </si>
  <si>
    <t>Chicago</t>
  </si>
  <si>
    <t>Denver</t>
  </si>
  <si>
    <t>Omaha</t>
  </si>
  <si>
    <t>Portland</t>
  </si>
  <si>
    <t>Cost ($)</t>
  </si>
  <si>
    <t>Baltimore</t>
  </si>
  <si>
    <t>Cheyenne</t>
  </si>
  <si>
    <t>Salt Lake</t>
  </si>
  <si>
    <t>Memphis</t>
  </si>
  <si>
    <t>Wichita</t>
  </si>
  <si>
    <t>Demand</t>
  </si>
  <si>
    <t>Decision Variables</t>
  </si>
  <si>
    <t>Demand City - Production Allocation (1000 Units)</t>
  </si>
  <si>
    <t>Plants</t>
  </si>
  <si>
    <t>(1=open)</t>
  </si>
  <si>
    <t>Constraints</t>
  </si>
  <si>
    <t>Excess Capacity</t>
  </si>
  <si>
    <t>Unmet Demand</t>
  </si>
  <si>
    <t>Objective Function</t>
  </si>
  <si>
    <t>Cost =</t>
  </si>
  <si>
    <t>Resulting Production Allocation</t>
  </si>
  <si>
    <t>X Variables</t>
  </si>
  <si>
    <t>y var</t>
  </si>
  <si>
    <t>j=1</t>
  </si>
  <si>
    <t>j=2</t>
  </si>
  <si>
    <t>j=3</t>
  </si>
  <si>
    <t>j=4</t>
  </si>
  <si>
    <t>j=5</t>
  </si>
  <si>
    <t>i=1</t>
  </si>
  <si>
    <t>i=2</t>
  </si>
  <si>
    <t>i=3</t>
  </si>
  <si>
    <t>i=4</t>
  </si>
  <si>
    <t>i=5</t>
  </si>
  <si>
    <t>j=6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</si>
</sst>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(&quot;$&quot;* #,##0_);_(&quot;$&quot;* \(#,##0\);_(&quot;$&quot;* &quot;-&quot;??_);_(@_)"/>
    <numFmt numFmtId="167" formatCode="_(* #,##0_);_(* \(#,##0\);_(* &quot;-&quot;??_);_(@_)"/>
  </numFmts>
  <fonts count="8" x14ac:knownFonts="1">
    <font>
      <sz val="10"/>
      <name val="Arial"/>
    </font>
    <font>
      <sz val="10"/>
      <name val="Arial"/>
      <family val="2"/>
    </font>
    <font>
      <b/>
      <i/>
      <sz val="10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sz val="11"/>
      <name val="Times New Roman"/>
      <family val="1"/>
    </font>
    <font>
      <i/>
      <sz val="11"/>
      <name val="Times New Roman"/>
      <family val="1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59999389629810485"/>
        <bgColor indexed="64"/>
      </patternFill>
    </fill>
  </fills>
  <borders count="35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59">
    <xf numFmtId="0" fontId="0" fillId="0" borderId="0" xfId="0"/>
    <xf numFmtId="0" fontId="2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12" xfId="0" applyBorder="1"/>
    <xf numFmtId="0" fontId="0" fillId="0" borderId="13" xfId="0" applyBorder="1" applyAlignment="1">
      <alignment horizontal="right"/>
    </xf>
    <xf numFmtId="0" fontId="0" fillId="0" borderId="14" xfId="0" applyBorder="1"/>
    <xf numFmtId="0" fontId="0" fillId="0" borderId="15" xfId="0" applyBorder="1" applyAlignment="1">
      <alignment horizontal="right"/>
    </xf>
    <xf numFmtId="0" fontId="0" fillId="0" borderId="17" xfId="0" applyBorder="1"/>
    <xf numFmtId="0" fontId="4" fillId="0" borderId="18" xfId="0" applyFont="1" applyBorder="1"/>
    <xf numFmtId="0" fontId="3" fillId="0" borderId="19" xfId="0" applyFont="1" applyBorder="1" applyAlignment="1">
      <alignment horizontal="right"/>
    </xf>
    <xf numFmtId="0" fontId="0" fillId="0" borderId="20" xfId="0" applyBorder="1" applyAlignment="1">
      <alignment horizontal="right" wrapText="1"/>
    </xf>
    <xf numFmtId="0" fontId="0" fillId="0" borderId="19" xfId="0" applyBorder="1" applyAlignment="1">
      <alignment horizontal="right"/>
    </xf>
    <xf numFmtId="0" fontId="0" fillId="0" borderId="21" xfId="0" applyBorder="1" applyAlignment="1">
      <alignment horizontal="right"/>
    </xf>
    <xf numFmtId="0" fontId="4" fillId="0" borderId="22" xfId="0" applyFont="1" applyBorder="1"/>
    <xf numFmtId="0" fontId="4" fillId="0" borderId="23" xfId="0" applyFont="1" applyBorder="1"/>
    <xf numFmtId="0" fontId="0" fillId="0" borderId="24" xfId="0" applyBorder="1" applyAlignment="1">
      <alignment horizontal="right"/>
    </xf>
    <xf numFmtId="167" fontId="0" fillId="0" borderId="25" xfId="1" applyNumberFormat="1" applyFont="1" applyBorder="1"/>
    <xf numFmtId="167" fontId="0" fillId="0" borderId="11" xfId="1" applyNumberFormat="1" applyFont="1" applyBorder="1"/>
    <xf numFmtId="167" fontId="0" fillId="0" borderId="9" xfId="1" applyNumberFormat="1" applyFont="1" applyBorder="1"/>
    <xf numFmtId="167" fontId="0" fillId="0" borderId="0" xfId="1" applyNumberFormat="1" applyFont="1" applyBorder="1"/>
    <xf numFmtId="0" fontId="3" fillId="0" borderId="26" xfId="0" applyFont="1" applyBorder="1" applyAlignment="1">
      <alignment horizontal="right"/>
    </xf>
    <xf numFmtId="0" fontId="3" fillId="0" borderId="20" xfId="0" applyFont="1" applyBorder="1" applyAlignment="1">
      <alignment horizontal="right"/>
    </xf>
    <xf numFmtId="167" fontId="0" fillId="0" borderId="27" xfId="1" applyNumberFormat="1" applyFont="1" applyBorder="1"/>
    <xf numFmtId="167" fontId="0" fillId="0" borderId="28" xfId="1" applyNumberFormat="1" applyFont="1" applyBorder="1"/>
    <xf numFmtId="166" fontId="0" fillId="0" borderId="30" xfId="2" applyNumberFormat="1" applyFont="1" applyBorder="1"/>
    <xf numFmtId="0" fontId="4" fillId="0" borderId="4" xfId="0" applyFont="1" applyBorder="1"/>
    <xf numFmtId="1" fontId="0" fillId="0" borderId="16" xfId="0" applyNumberFormat="1" applyBorder="1"/>
    <xf numFmtId="0" fontId="5" fillId="0" borderId="0" xfId="0" applyFont="1" applyAlignment="1">
      <alignment horizontal="left"/>
    </xf>
    <xf numFmtId="0" fontId="6" fillId="0" borderId="0" xfId="0" applyFont="1" applyAlignment="1">
      <alignment horizontal="right"/>
    </xf>
    <xf numFmtId="0" fontId="4" fillId="0" borderId="0" xfId="0" applyFont="1"/>
    <xf numFmtId="166" fontId="3" fillId="0" borderId="0" xfId="2" applyNumberFormat="1" applyFont="1" applyFill="1"/>
    <xf numFmtId="0" fontId="3" fillId="0" borderId="0" xfId="0" applyFont="1"/>
    <xf numFmtId="166" fontId="0" fillId="0" borderId="0" xfId="2" applyNumberFormat="1" applyFont="1" applyBorder="1"/>
    <xf numFmtId="0" fontId="3" fillId="0" borderId="31" xfId="0" applyFont="1" applyBorder="1" applyAlignment="1">
      <alignment horizontal="right"/>
    </xf>
    <xf numFmtId="0" fontId="2" fillId="0" borderId="29" xfId="0" applyFont="1" applyBorder="1" applyAlignment="1">
      <alignment horizontal="right"/>
    </xf>
    <xf numFmtId="0" fontId="2" fillId="0" borderId="0" xfId="0" applyFont="1" applyAlignment="1">
      <alignment horizontal="left" vertical="center"/>
    </xf>
    <xf numFmtId="0" fontId="0" fillId="0" borderId="33" xfId="0" applyBorder="1" applyAlignment="1">
      <alignment horizontal="right"/>
    </xf>
    <xf numFmtId="1" fontId="1" fillId="0" borderId="34" xfId="1" applyNumberFormat="1" applyFill="1" applyBorder="1"/>
    <xf numFmtId="1" fontId="1" fillId="0" borderId="34" xfId="1" applyNumberFormat="1" applyBorder="1"/>
    <xf numFmtId="1" fontId="0" fillId="2" borderId="34" xfId="0" applyNumberFormat="1" applyFill="1" applyBorder="1"/>
    <xf numFmtId="0" fontId="0" fillId="3" borderId="34" xfId="0" applyFill="1" applyBorder="1" applyAlignment="1">
      <alignment horizontal="right"/>
    </xf>
    <xf numFmtId="0" fontId="7" fillId="4" borderId="16" xfId="0" applyFont="1" applyFill="1" applyBorder="1"/>
    <xf numFmtId="0" fontId="7" fillId="4" borderId="5" xfId="0" applyFont="1" applyFill="1" applyBorder="1"/>
    <xf numFmtId="0" fontId="1" fillId="2" borderId="0" xfId="0" applyFont="1" applyFill="1"/>
    <xf numFmtId="1" fontId="0" fillId="0" borderId="34" xfId="0" applyNumberFormat="1" applyBorder="1"/>
    <xf numFmtId="0" fontId="1" fillId="3" borderId="0" xfId="0" applyFont="1" applyFill="1"/>
    <xf numFmtId="0" fontId="4" fillId="0" borderId="23" xfId="0" applyFont="1" applyBorder="1" applyAlignment="1">
      <alignment horizontal="center" wrapText="1"/>
    </xf>
    <xf numFmtId="0" fontId="4" fillId="0" borderId="7" xfId="0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1" fillId="0" borderId="0" xfId="0" applyFont="1"/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20</xdr:row>
      <xdr:rowOff>0</xdr:rowOff>
    </xdr:from>
    <xdr:to>
      <xdr:col>16</xdr:col>
      <xdr:colOff>304800</xdr:colOff>
      <xdr:row>21</xdr:row>
      <xdr:rowOff>95250</xdr:rowOff>
    </xdr:to>
    <xdr:sp macro="" textlink="">
      <xdr:nvSpPr>
        <xdr:cNvPr id="1025" name="AutoShape 1">
          <a:extLst>
            <a:ext uri="{FF2B5EF4-FFF2-40B4-BE49-F238E27FC236}">
              <a16:creationId xmlns:a16="http://schemas.microsoft.com/office/drawing/2014/main" id="{C9D7A282-F3CD-CAFB-24C0-2FC04F57F4DE}"/>
            </a:ext>
          </a:extLst>
        </xdr:cNvPr>
        <xdr:cNvSpPr>
          <a:spLocks noChangeAspect="1" noChangeArrowheads="1"/>
        </xdr:cNvSpPr>
      </xdr:nvSpPr>
      <xdr:spPr bwMode="auto">
        <a:xfrm>
          <a:off x="10553700" y="3857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431131</xdr:colOff>
      <xdr:row>5</xdr:row>
      <xdr:rowOff>0</xdr:rowOff>
    </xdr:from>
    <xdr:to>
      <xdr:col>24</xdr:col>
      <xdr:colOff>114326</xdr:colOff>
      <xdr:row>25</xdr:row>
      <xdr:rowOff>163453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CA5957F-3BC2-BB0A-BBF6-0D8FC11CB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41105" y="1303421"/>
          <a:ext cx="7373379" cy="37629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280147</xdr:colOff>
      <xdr:row>18</xdr:row>
      <xdr:rowOff>22411</xdr:rowOff>
    </xdr:from>
    <xdr:to>
      <xdr:col>19</xdr:col>
      <xdr:colOff>90471</xdr:colOff>
      <xdr:row>29</xdr:row>
      <xdr:rowOff>120722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6A2C33F-A507-80C7-4C4B-5EA549D2A5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2147" y="2891117"/>
          <a:ext cx="5906324" cy="185763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61"/>
  <sheetViews>
    <sheetView showGridLines="0" topLeftCell="A6" zoomScale="95" zoomScaleNormal="95" workbookViewId="0">
      <selection activeCell="J30" sqref="J30"/>
    </sheetView>
  </sheetViews>
  <sheetFormatPr defaultColWidth="8.85546875" defaultRowHeight="12.75" x14ac:dyDescent="0.2"/>
  <cols>
    <col min="1" max="1" width="14.7109375" customWidth="1"/>
    <col min="2" max="2" width="11.85546875" bestFit="1" customWidth="1"/>
    <col min="3" max="3" width="8.42578125" bestFit="1" customWidth="1"/>
    <col min="4" max="4" width="9.42578125" bestFit="1" customWidth="1"/>
    <col min="5" max="5" width="8.85546875" bestFit="1" customWidth="1"/>
    <col min="6" max="6" width="8.42578125" bestFit="1" customWidth="1"/>
    <col min="7" max="7" width="12.42578125" bestFit="1" customWidth="1"/>
    <col min="8" max="8" width="8.7109375" customWidth="1"/>
    <col min="9" max="9" width="10.85546875" customWidth="1"/>
    <col min="11" max="11" width="11.42578125" bestFit="1" customWidth="1"/>
  </cols>
  <sheetData>
    <row r="1" spans="1:12" ht="38.1" customHeight="1" thickBot="1" x14ac:dyDescent="0.25">
      <c r="A1" s="42" t="s">
        <v>0</v>
      </c>
    </row>
    <row r="2" spans="1:12" ht="27" customHeight="1" x14ac:dyDescent="0.2">
      <c r="A2" s="14"/>
      <c r="B2" s="53" t="s">
        <v>1</v>
      </c>
      <c r="C2" s="54"/>
      <c r="D2" s="54"/>
      <c r="E2" s="54"/>
      <c r="F2" s="54"/>
      <c r="G2" s="55"/>
      <c r="H2" s="27" t="s">
        <v>2</v>
      </c>
      <c r="I2" s="28" t="s">
        <v>3</v>
      </c>
    </row>
    <row r="3" spans="1:12" x14ac:dyDescent="0.2">
      <c r="A3" s="15" t="s">
        <v>4</v>
      </c>
      <c r="B3" s="13" t="s">
        <v>5</v>
      </c>
      <c r="C3" s="11" t="s">
        <v>6</v>
      </c>
      <c r="D3" s="11" t="s">
        <v>7</v>
      </c>
      <c r="E3" s="11" t="s">
        <v>8</v>
      </c>
      <c r="F3" s="11" t="s">
        <v>9</v>
      </c>
      <c r="G3" s="11" t="s">
        <v>10</v>
      </c>
      <c r="H3" s="40" t="s">
        <v>11</v>
      </c>
      <c r="I3" s="16"/>
    </row>
    <row r="4" spans="1:12" x14ac:dyDescent="0.2">
      <c r="A4" s="9" t="s">
        <v>12</v>
      </c>
      <c r="B4" s="23">
        <v>1675</v>
      </c>
      <c r="C4" s="24">
        <v>400</v>
      </c>
      <c r="D4" s="24">
        <v>685</v>
      </c>
      <c r="E4" s="24">
        <v>1630</v>
      </c>
      <c r="F4" s="24">
        <v>1160</v>
      </c>
      <c r="G4" s="24">
        <v>2800</v>
      </c>
      <c r="H4" s="29">
        <v>7650</v>
      </c>
      <c r="I4" s="10">
        <v>18</v>
      </c>
    </row>
    <row r="5" spans="1:12" x14ac:dyDescent="0.2">
      <c r="A5" s="3" t="s">
        <v>13</v>
      </c>
      <c r="B5" s="25">
        <v>1460</v>
      </c>
      <c r="C5" s="26">
        <v>1940</v>
      </c>
      <c r="D5" s="26">
        <v>970</v>
      </c>
      <c r="E5" s="26">
        <v>100</v>
      </c>
      <c r="F5" s="26">
        <v>495</v>
      </c>
      <c r="G5" s="26">
        <v>1200</v>
      </c>
      <c r="H5" s="30">
        <v>3500</v>
      </c>
      <c r="I5" s="4">
        <v>24</v>
      </c>
    </row>
    <row r="6" spans="1:12" x14ac:dyDescent="0.2">
      <c r="A6" s="3" t="s">
        <v>14</v>
      </c>
      <c r="B6" s="25">
        <v>1925</v>
      </c>
      <c r="C6" s="26">
        <v>2400</v>
      </c>
      <c r="D6" s="26">
        <v>1425</v>
      </c>
      <c r="E6" s="26">
        <v>500</v>
      </c>
      <c r="F6" s="26">
        <v>950</v>
      </c>
      <c r="G6" s="26">
        <v>800</v>
      </c>
      <c r="H6" s="30">
        <v>5000</v>
      </c>
      <c r="I6" s="4">
        <v>27</v>
      </c>
    </row>
    <row r="7" spans="1:12" x14ac:dyDescent="0.2">
      <c r="A7" s="3" t="s">
        <v>15</v>
      </c>
      <c r="B7" s="25">
        <v>380</v>
      </c>
      <c r="C7" s="26">
        <v>1355</v>
      </c>
      <c r="D7" s="26">
        <v>543</v>
      </c>
      <c r="E7" s="26">
        <v>1045</v>
      </c>
      <c r="F7" s="26">
        <v>665</v>
      </c>
      <c r="G7" s="26">
        <v>2321</v>
      </c>
      <c r="H7" s="30">
        <v>4100</v>
      </c>
      <c r="I7" s="4">
        <v>22</v>
      </c>
    </row>
    <row r="8" spans="1:12" x14ac:dyDescent="0.2">
      <c r="A8" s="3" t="s">
        <v>16</v>
      </c>
      <c r="B8" s="25">
        <v>922</v>
      </c>
      <c r="C8" s="26">
        <v>1646</v>
      </c>
      <c r="D8" s="26">
        <v>700</v>
      </c>
      <c r="E8" s="26">
        <v>508</v>
      </c>
      <c r="F8" s="26">
        <v>311</v>
      </c>
      <c r="G8" s="26">
        <v>1797</v>
      </c>
      <c r="H8" s="30">
        <v>2200</v>
      </c>
      <c r="I8" s="4">
        <v>31</v>
      </c>
    </row>
    <row r="9" spans="1:12" ht="13.5" thickBot="1" x14ac:dyDescent="0.25">
      <c r="A9" s="32" t="s">
        <v>17</v>
      </c>
      <c r="B9" s="48">
        <v>10</v>
      </c>
      <c r="C9" s="49">
        <v>8</v>
      </c>
      <c r="D9" s="49">
        <v>14</v>
      </c>
      <c r="E9" s="49">
        <v>6</v>
      </c>
      <c r="F9" s="49">
        <v>7</v>
      </c>
      <c r="G9" s="49">
        <v>11</v>
      </c>
      <c r="H9" s="12"/>
      <c r="I9" s="6"/>
    </row>
    <row r="10" spans="1:12" ht="5.25" customHeight="1" x14ac:dyDescent="0.2">
      <c r="A10" s="2"/>
    </row>
    <row r="11" spans="1:12" ht="13.5" thickBot="1" x14ac:dyDescent="0.25">
      <c r="A11" s="1" t="s">
        <v>18</v>
      </c>
    </row>
    <row r="12" spans="1:12" x14ac:dyDescent="0.2">
      <c r="A12" s="14"/>
      <c r="B12" s="53" t="s">
        <v>19</v>
      </c>
      <c r="C12" s="54"/>
      <c r="D12" s="54"/>
      <c r="E12" s="54"/>
      <c r="F12" s="54"/>
      <c r="G12" s="55"/>
      <c r="H12" s="17" t="s">
        <v>20</v>
      </c>
    </row>
    <row r="13" spans="1:12" x14ac:dyDescent="0.2">
      <c r="A13" s="15" t="s">
        <v>4</v>
      </c>
      <c r="B13" s="13" t="s">
        <v>5</v>
      </c>
      <c r="C13" s="11" t="s">
        <v>6</v>
      </c>
      <c r="D13" s="11" t="s">
        <v>7</v>
      </c>
      <c r="E13" s="11" t="s">
        <v>8</v>
      </c>
      <c r="F13" s="11" t="s">
        <v>9</v>
      </c>
      <c r="G13" s="11" t="s">
        <v>10</v>
      </c>
      <c r="H13" s="18" t="s">
        <v>21</v>
      </c>
    </row>
    <row r="14" spans="1:12" x14ac:dyDescent="0.2">
      <c r="A14" s="9" t="s">
        <v>12</v>
      </c>
      <c r="B14" s="46">
        <v>0</v>
      </c>
      <c r="C14" s="46">
        <v>8</v>
      </c>
      <c r="D14" s="46">
        <v>2.0000000000000098</v>
      </c>
      <c r="E14" s="46">
        <v>0</v>
      </c>
      <c r="F14" s="46">
        <v>0</v>
      </c>
      <c r="G14" s="46">
        <v>0</v>
      </c>
      <c r="H14" s="47">
        <v>1</v>
      </c>
      <c r="J14" s="58" t="s">
        <v>35</v>
      </c>
      <c r="K14" s="50" t="s">
        <v>28</v>
      </c>
    </row>
    <row r="15" spans="1:12" x14ac:dyDescent="0.2">
      <c r="A15" s="3" t="s">
        <v>13</v>
      </c>
      <c r="B15" s="46">
        <v>0</v>
      </c>
      <c r="C15" s="46">
        <v>0</v>
      </c>
      <c r="D15" s="46">
        <v>0</v>
      </c>
      <c r="E15" s="46">
        <v>5.9999999999999991</v>
      </c>
      <c r="F15" s="46">
        <v>0</v>
      </c>
      <c r="G15" s="46">
        <v>0</v>
      </c>
      <c r="H15" s="47">
        <v>1</v>
      </c>
      <c r="J15" s="58" t="s">
        <v>36</v>
      </c>
    </row>
    <row r="16" spans="1:12" x14ac:dyDescent="0.2">
      <c r="A16" s="3" t="s">
        <v>14</v>
      </c>
      <c r="B16" s="46">
        <v>0</v>
      </c>
      <c r="C16" s="46">
        <v>0</v>
      </c>
      <c r="D16" s="46">
        <v>0</v>
      </c>
      <c r="E16" s="46">
        <v>0</v>
      </c>
      <c r="F16" s="46">
        <v>0</v>
      </c>
      <c r="G16" s="46">
        <v>10.999999999999998</v>
      </c>
      <c r="H16" s="47">
        <v>1</v>
      </c>
      <c r="J16" s="58" t="s">
        <v>37</v>
      </c>
      <c r="L16" s="38"/>
    </row>
    <row r="17" spans="1:19" x14ac:dyDescent="0.2">
      <c r="A17" s="3" t="s">
        <v>15</v>
      </c>
      <c r="B17" s="46">
        <v>10.000000000000002</v>
      </c>
      <c r="C17" s="46">
        <v>0</v>
      </c>
      <c r="D17" s="46">
        <v>11.999999999999996</v>
      </c>
      <c r="E17" s="46">
        <v>0</v>
      </c>
      <c r="F17" s="46">
        <v>0</v>
      </c>
      <c r="G17" s="46">
        <v>0</v>
      </c>
      <c r="H17" s="47">
        <v>1</v>
      </c>
      <c r="J17" s="58" t="s">
        <v>38</v>
      </c>
    </row>
    <row r="18" spans="1:19" ht="18" customHeight="1" thickBot="1" x14ac:dyDescent="0.25">
      <c r="A18" s="5" t="s">
        <v>16</v>
      </c>
      <c r="B18" s="46">
        <v>0</v>
      </c>
      <c r="C18" s="46">
        <v>0</v>
      </c>
      <c r="D18" s="46">
        <v>0</v>
      </c>
      <c r="E18" s="46">
        <v>0</v>
      </c>
      <c r="F18" s="46">
        <v>7.0000000000000036</v>
      </c>
      <c r="G18" s="46">
        <v>0</v>
      </c>
      <c r="H18" s="47">
        <v>1</v>
      </c>
      <c r="J18" s="58" t="s">
        <v>39</v>
      </c>
    </row>
    <row r="19" spans="1:19" ht="18" customHeight="1" x14ac:dyDescent="0.2">
      <c r="B19" s="58" t="s">
        <v>30</v>
      </c>
      <c r="C19" s="58" t="s">
        <v>31</v>
      </c>
      <c r="D19" s="58" t="s">
        <v>32</v>
      </c>
      <c r="E19" s="58" t="s">
        <v>33</v>
      </c>
      <c r="F19" s="58" t="s">
        <v>34</v>
      </c>
      <c r="G19" s="58" t="s">
        <v>40</v>
      </c>
    </row>
    <row r="20" spans="1:19" ht="18" customHeight="1" thickBot="1" x14ac:dyDescent="0.25">
      <c r="A20" s="1" t="s">
        <v>27</v>
      </c>
    </row>
    <row r="21" spans="1:19" ht="17.100000000000001" customHeight="1" x14ac:dyDescent="0.2">
      <c r="A21" s="14"/>
      <c r="B21" s="53" t="s">
        <v>19</v>
      </c>
      <c r="C21" s="56"/>
      <c r="D21" s="56"/>
      <c r="E21" s="56"/>
      <c r="F21" s="56"/>
      <c r="G21" s="57"/>
    </row>
    <row r="22" spans="1:19" ht="17.100000000000001" customHeight="1" x14ac:dyDescent="0.2">
      <c r="A22" s="15" t="s">
        <v>4</v>
      </c>
      <c r="B22" s="13" t="s">
        <v>5</v>
      </c>
      <c r="C22" s="11" t="s">
        <v>6</v>
      </c>
      <c r="D22" s="11" t="s">
        <v>7</v>
      </c>
      <c r="E22" s="11" t="s">
        <v>8</v>
      </c>
      <c r="F22" s="11" t="s">
        <v>9</v>
      </c>
      <c r="G22" s="43" t="s">
        <v>10</v>
      </c>
    </row>
    <row r="23" spans="1:19" ht="17.100000000000001" customHeight="1" x14ac:dyDescent="0.2">
      <c r="A23" s="9" t="s">
        <v>12</v>
      </c>
      <c r="B23" s="44">
        <f>B14*B$9</f>
        <v>0</v>
      </c>
      <c r="C23" s="44">
        <f t="shared" ref="C23:G27" si="0">C14*C$9</f>
        <v>64</v>
      </c>
      <c r="D23" s="44">
        <f t="shared" si="0"/>
        <v>28.000000000000135</v>
      </c>
      <c r="E23" s="45">
        <f t="shared" si="0"/>
        <v>0</v>
      </c>
      <c r="F23" s="45">
        <f>F14*F$9</f>
        <v>0</v>
      </c>
      <c r="G23" s="45">
        <f>G14*G$9</f>
        <v>0</v>
      </c>
    </row>
    <row r="24" spans="1:19" ht="17.100000000000001" customHeight="1" x14ac:dyDescent="0.2">
      <c r="A24" s="3" t="s">
        <v>13</v>
      </c>
      <c r="B24" s="44">
        <f>B15*B$9</f>
        <v>0</v>
      </c>
      <c r="C24" s="44">
        <f t="shared" si="0"/>
        <v>0</v>
      </c>
      <c r="D24" s="44">
        <f t="shared" si="0"/>
        <v>0</v>
      </c>
      <c r="E24" s="44">
        <f t="shared" si="0"/>
        <v>35.999999999999993</v>
      </c>
      <c r="F24" s="44">
        <f t="shared" si="0"/>
        <v>0</v>
      </c>
      <c r="G24" s="44">
        <f t="shared" si="0"/>
        <v>0</v>
      </c>
    </row>
    <row r="25" spans="1:19" ht="17.100000000000001" customHeight="1" x14ac:dyDescent="0.2">
      <c r="A25" s="3" t="s">
        <v>14</v>
      </c>
      <c r="B25" s="44">
        <f t="shared" ref="B25:B27" si="1">B16*B$9</f>
        <v>0</v>
      </c>
      <c r="C25" s="45">
        <f t="shared" si="0"/>
        <v>0</v>
      </c>
      <c r="D25" s="45">
        <f t="shared" si="0"/>
        <v>0</v>
      </c>
      <c r="E25" s="44">
        <f t="shared" si="0"/>
        <v>0</v>
      </c>
      <c r="F25" s="44">
        <f t="shared" si="0"/>
        <v>0</v>
      </c>
      <c r="G25" s="44">
        <f t="shared" si="0"/>
        <v>120.99999999999999</v>
      </c>
    </row>
    <row r="26" spans="1:19" ht="17.100000000000001" customHeight="1" x14ac:dyDescent="0.2">
      <c r="A26" s="3" t="s">
        <v>15</v>
      </c>
      <c r="B26" s="44">
        <f>B17*B$9</f>
        <v>100.00000000000001</v>
      </c>
      <c r="C26" s="44">
        <f t="shared" si="0"/>
        <v>0</v>
      </c>
      <c r="D26" s="44">
        <f t="shared" si="0"/>
        <v>167.99999999999994</v>
      </c>
      <c r="E26" s="45">
        <f t="shared" si="0"/>
        <v>0</v>
      </c>
      <c r="F26" s="45">
        <f t="shared" si="0"/>
        <v>0</v>
      </c>
      <c r="G26" s="45">
        <f t="shared" si="0"/>
        <v>0</v>
      </c>
    </row>
    <row r="27" spans="1:19" ht="17.100000000000001" customHeight="1" thickBot="1" x14ac:dyDescent="0.25">
      <c r="A27" s="5" t="s">
        <v>16</v>
      </c>
      <c r="B27" s="44">
        <f t="shared" si="1"/>
        <v>0</v>
      </c>
      <c r="C27" s="44">
        <f t="shared" si="0"/>
        <v>0</v>
      </c>
      <c r="D27" s="44">
        <f t="shared" si="0"/>
        <v>0</v>
      </c>
      <c r="E27" s="45">
        <f t="shared" si="0"/>
        <v>0</v>
      </c>
      <c r="F27" s="45">
        <f t="shared" si="0"/>
        <v>49.000000000000028</v>
      </c>
      <c r="G27" s="45">
        <f>G18*G$9</f>
        <v>0</v>
      </c>
    </row>
    <row r="28" spans="1:19" ht="17.100000000000001" customHeight="1" x14ac:dyDescent="0.2"/>
    <row r="29" spans="1:19" ht="18" customHeight="1" thickBot="1" x14ac:dyDescent="0.25">
      <c r="A29" s="1" t="s">
        <v>22</v>
      </c>
      <c r="E29" s="38"/>
      <c r="F29" s="38"/>
      <c r="G29" s="38"/>
      <c r="M29" s="46">
        <v>0</v>
      </c>
      <c r="N29" s="46">
        <v>8</v>
      </c>
      <c r="O29" s="46">
        <v>2.0000000000000098</v>
      </c>
      <c r="P29" s="46">
        <v>0</v>
      </c>
      <c r="Q29" s="46">
        <v>0</v>
      </c>
      <c r="R29" s="46">
        <v>0</v>
      </c>
      <c r="S29" s="47">
        <v>1</v>
      </c>
    </row>
    <row r="30" spans="1:19" x14ac:dyDescent="0.2">
      <c r="A30" s="20" t="s">
        <v>4</v>
      </c>
      <c r="B30" s="21" t="s">
        <v>23</v>
      </c>
      <c r="C30" s="7"/>
      <c r="D30" s="7"/>
      <c r="E30" s="7"/>
      <c r="F30" s="7"/>
      <c r="G30" s="8"/>
      <c r="M30" s="46">
        <v>0</v>
      </c>
      <c r="N30" s="46">
        <v>0</v>
      </c>
      <c r="O30" s="46">
        <v>0</v>
      </c>
      <c r="P30" s="46">
        <v>5.9999999999999991</v>
      </c>
      <c r="Q30" s="46">
        <v>0</v>
      </c>
      <c r="R30" s="46">
        <v>0</v>
      </c>
      <c r="S30" s="47">
        <v>1</v>
      </c>
    </row>
    <row r="31" spans="1:19" x14ac:dyDescent="0.2">
      <c r="A31" s="3" t="s">
        <v>12</v>
      </c>
      <c r="B31" s="51">
        <f>I4*H14-SUM(B14:G14)</f>
        <v>7.9999999999999893</v>
      </c>
      <c r="G31" s="4"/>
      <c r="M31" s="46">
        <v>0</v>
      </c>
      <c r="N31" s="46">
        <v>0</v>
      </c>
      <c r="O31" s="46">
        <v>0</v>
      </c>
      <c r="P31" s="46">
        <v>0</v>
      </c>
      <c r="Q31" s="46">
        <v>0</v>
      </c>
      <c r="R31" s="46">
        <v>10.999999999999998</v>
      </c>
      <c r="S31" s="47">
        <v>1</v>
      </c>
    </row>
    <row r="32" spans="1:19" x14ac:dyDescent="0.2">
      <c r="A32" s="3" t="s">
        <v>13</v>
      </c>
      <c r="B32" s="51">
        <f t="shared" ref="B32:B35" si="2">I5*H15-SUM(B15:G15)</f>
        <v>18</v>
      </c>
      <c r="G32" s="4"/>
      <c r="M32" s="46">
        <v>10.000000000000002</v>
      </c>
      <c r="N32" s="46">
        <v>0</v>
      </c>
      <c r="O32" s="46">
        <v>11.999999999999996</v>
      </c>
      <c r="P32" s="46">
        <v>0</v>
      </c>
      <c r="Q32" s="46">
        <v>0</v>
      </c>
      <c r="R32" s="46">
        <v>0</v>
      </c>
      <c r="S32" s="47">
        <v>1</v>
      </c>
    </row>
    <row r="33" spans="1:19" x14ac:dyDescent="0.2">
      <c r="A33" s="3" t="s">
        <v>14</v>
      </c>
      <c r="B33" s="51">
        <f t="shared" si="2"/>
        <v>16</v>
      </c>
      <c r="G33" s="4"/>
      <c r="M33" s="46">
        <v>0</v>
      </c>
      <c r="N33" s="46">
        <v>0</v>
      </c>
      <c r="O33" s="46">
        <v>0</v>
      </c>
      <c r="P33" s="46">
        <v>0</v>
      </c>
      <c r="Q33" s="46">
        <v>7.0000000000000036</v>
      </c>
      <c r="R33" s="46">
        <v>0</v>
      </c>
      <c r="S33" s="47">
        <v>1</v>
      </c>
    </row>
    <row r="34" spans="1:19" x14ac:dyDescent="0.2">
      <c r="A34" s="3" t="s">
        <v>15</v>
      </c>
      <c r="B34" s="51">
        <f t="shared" si="2"/>
        <v>0</v>
      </c>
      <c r="G34" s="4"/>
    </row>
    <row r="35" spans="1:19" x14ac:dyDescent="0.2">
      <c r="A35" s="3" t="s">
        <v>16</v>
      </c>
      <c r="B35" s="51">
        <f t="shared" si="2"/>
        <v>23.999999999999996</v>
      </c>
      <c r="G35" s="4"/>
    </row>
    <row r="36" spans="1:19" ht="1.5" customHeight="1" x14ac:dyDescent="0.2">
      <c r="A36" s="3"/>
      <c r="B36" s="51">
        <f t="shared" ref="B36" si="3">I9*H19-SUMPRODUCT(B19:G19,B$9:G$9)</f>
        <v>0</v>
      </c>
      <c r="G36" s="4"/>
    </row>
    <row r="37" spans="1:19" x14ac:dyDescent="0.2">
      <c r="A37" s="3"/>
      <c r="B37" s="13" t="s">
        <v>5</v>
      </c>
      <c r="C37" s="19" t="s">
        <v>6</v>
      </c>
      <c r="D37" s="19" t="s">
        <v>7</v>
      </c>
      <c r="E37" s="19" t="s">
        <v>8</v>
      </c>
      <c r="F37" s="19" t="s">
        <v>9</v>
      </c>
      <c r="G37" s="22" t="s">
        <v>10</v>
      </c>
    </row>
    <row r="38" spans="1:19" ht="13.5" thickBot="1" x14ac:dyDescent="0.25">
      <c r="A38" s="32" t="s">
        <v>24</v>
      </c>
      <c r="B38" s="33">
        <f>B9-SUM(B14:B18)</f>
        <v>0</v>
      </c>
      <c r="C38" s="33">
        <f t="shared" ref="C38:G38" si="4">C9-SUM(C14:C18)</f>
        <v>0</v>
      </c>
      <c r="D38" s="33">
        <f t="shared" si="4"/>
        <v>0</v>
      </c>
      <c r="E38" s="33">
        <f t="shared" si="4"/>
        <v>0</v>
      </c>
      <c r="F38" s="33">
        <f t="shared" si="4"/>
        <v>0</v>
      </c>
      <c r="G38" s="33">
        <f t="shared" si="4"/>
        <v>0</v>
      </c>
    </row>
    <row r="39" spans="1:19" ht="3" customHeight="1" x14ac:dyDescent="0.2"/>
    <row r="40" spans="1:19" ht="13.5" thickBot="1" x14ac:dyDescent="0.25">
      <c r="A40" s="1" t="s">
        <v>25</v>
      </c>
    </row>
    <row r="41" spans="1:19" ht="13.5" thickBot="1" x14ac:dyDescent="0.25">
      <c r="A41" s="41" t="s">
        <v>26</v>
      </c>
      <c r="B41" s="31">
        <f>SUMPRODUCT(B14:G18,B4:G8)</f>
        <v>26463</v>
      </c>
      <c r="D41" s="38"/>
      <c r="G41" s="39"/>
    </row>
    <row r="42" spans="1:19" x14ac:dyDescent="0.2">
      <c r="A42" s="38"/>
      <c r="G42" s="37"/>
    </row>
    <row r="47" spans="1:19" x14ac:dyDescent="0.2">
      <c r="A47" s="1"/>
    </row>
    <row r="48" spans="1:19" x14ac:dyDescent="0.2">
      <c r="A48" s="36"/>
    </row>
    <row r="49" spans="1:2" ht="15" x14ac:dyDescent="0.25">
      <c r="A49" s="35"/>
      <c r="B49" s="34"/>
    </row>
    <row r="50" spans="1:2" ht="15" x14ac:dyDescent="0.25">
      <c r="A50" s="35"/>
      <c r="B50" s="34"/>
    </row>
    <row r="51" spans="1:2" ht="15" x14ac:dyDescent="0.25">
      <c r="A51" s="35"/>
      <c r="B51" s="34"/>
    </row>
    <row r="52" spans="1:2" ht="15" x14ac:dyDescent="0.25">
      <c r="A52" s="35"/>
      <c r="B52" s="34"/>
    </row>
    <row r="53" spans="1:2" ht="15" x14ac:dyDescent="0.25">
      <c r="A53" s="35"/>
      <c r="B53" s="34"/>
    </row>
    <row r="54" spans="1:2" ht="15" x14ac:dyDescent="0.25">
      <c r="A54" s="35"/>
      <c r="B54" s="34"/>
    </row>
    <row r="55" spans="1:2" ht="12.75" customHeight="1" x14ac:dyDescent="0.25">
      <c r="A55" s="35"/>
      <c r="B55" s="34"/>
    </row>
    <row r="57" spans="1:2" x14ac:dyDescent="0.2">
      <c r="A57" s="36"/>
    </row>
    <row r="58" spans="1:2" ht="15" x14ac:dyDescent="0.25">
      <c r="A58" s="35"/>
      <c r="B58" s="34"/>
    </row>
    <row r="59" spans="1:2" ht="15" x14ac:dyDescent="0.25">
      <c r="A59" s="35"/>
      <c r="B59" s="34"/>
    </row>
    <row r="61" spans="1:2" x14ac:dyDescent="0.2">
      <c r="A61" s="36"/>
    </row>
  </sheetData>
  <mergeCells count="3">
    <mergeCell ref="B2:G2"/>
    <mergeCell ref="B12:G12"/>
    <mergeCell ref="B21:G21"/>
  </mergeCells>
  <phoneticPr fontId="0" type="noConversion"/>
  <pageMargins left="0.75" right="0.75" top="1" bottom="1" header="0.5" footer="0.5"/>
  <pageSetup scale="95" orientation="portrait" horizontalDpi="4294967292" r:id="rId1"/>
  <headerFooter alignWithMargins="0">
    <oddHeader>&amp;C&amp;A</oddHeader>
  </headerFooter>
  <rowBreaks count="1" manualBreakCount="1">
    <brk id="46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D41FE-939A-4BE4-BCB2-F18BB0A66DFE}">
  <dimension ref="A1:K49"/>
  <sheetViews>
    <sheetView tabSelected="1" zoomScale="85" zoomScaleNormal="85" workbookViewId="0">
      <selection activeCell="L35" sqref="L35"/>
    </sheetView>
  </sheetViews>
  <sheetFormatPr defaultColWidth="11.42578125" defaultRowHeight="12.75" x14ac:dyDescent="0.2"/>
  <sheetData>
    <row r="1" spans="1:11" ht="13.5" thickBot="1" x14ac:dyDescent="0.25">
      <c r="A1" s="42" t="s">
        <v>0</v>
      </c>
    </row>
    <row r="2" spans="1:11" x14ac:dyDescent="0.2">
      <c r="A2" s="14"/>
      <c r="B2" s="53" t="s">
        <v>1</v>
      </c>
      <c r="C2" s="54"/>
      <c r="D2" s="54"/>
      <c r="E2" s="54"/>
      <c r="F2" s="54"/>
      <c r="G2" s="55"/>
      <c r="H2" s="27" t="s">
        <v>2</v>
      </c>
      <c r="I2" s="28" t="s">
        <v>3</v>
      </c>
    </row>
    <row r="3" spans="1:11" x14ac:dyDescent="0.2">
      <c r="A3" s="15" t="s">
        <v>4</v>
      </c>
      <c r="B3" s="13" t="s">
        <v>5</v>
      </c>
      <c r="C3" s="11" t="s">
        <v>6</v>
      </c>
      <c r="D3" s="11" t="s">
        <v>7</v>
      </c>
      <c r="E3" s="11" t="s">
        <v>8</v>
      </c>
      <c r="F3" s="11" t="s">
        <v>9</v>
      </c>
      <c r="G3" s="11" t="s">
        <v>10</v>
      </c>
      <c r="H3" s="40" t="s">
        <v>11</v>
      </c>
      <c r="I3" s="16"/>
    </row>
    <row r="4" spans="1:11" x14ac:dyDescent="0.2">
      <c r="A4" s="9" t="s">
        <v>12</v>
      </c>
      <c r="B4" s="23">
        <v>1675</v>
      </c>
      <c r="C4" s="24">
        <v>400</v>
      </c>
      <c r="D4" s="24">
        <v>685</v>
      </c>
      <c r="E4" s="24">
        <v>1630</v>
      </c>
      <c r="F4" s="24">
        <v>1160</v>
      </c>
      <c r="G4" s="24">
        <v>2800</v>
      </c>
      <c r="H4" s="29">
        <v>7650</v>
      </c>
      <c r="I4" s="10">
        <v>18</v>
      </c>
    </row>
    <row r="5" spans="1:11" x14ac:dyDescent="0.2">
      <c r="A5" s="3" t="s">
        <v>13</v>
      </c>
      <c r="B5" s="25">
        <v>1460</v>
      </c>
      <c r="C5" s="26">
        <v>1940</v>
      </c>
      <c r="D5" s="26">
        <v>970</v>
      </c>
      <c r="E5" s="26">
        <v>100</v>
      </c>
      <c r="F5" s="26">
        <v>495</v>
      </c>
      <c r="G5" s="26">
        <v>1200</v>
      </c>
      <c r="H5" s="30">
        <v>3500</v>
      </c>
      <c r="I5" s="4">
        <v>24</v>
      </c>
    </row>
    <row r="6" spans="1:11" x14ac:dyDescent="0.2">
      <c r="A6" s="3" t="s">
        <v>14</v>
      </c>
      <c r="B6" s="25">
        <v>1925</v>
      </c>
      <c r="C6" s="26">
        <v>2400</v>
      </c>
      <c r="D6" s="26">
        <v>1425</v>
      </c>
      <c r="E6" s="26">
        <v>500</v>
      </c>
      <c r="F6" s="26">
        <v>950</v>
      </c>
      <c r="G6" s="26">
        <v>800</v>
      </c>
      <c r="H6" s="30">
        <v>5000</v>
      </c>
      <c r="I6" s="4">
        <v>27</v>
      </c>
    </row>
    <row r="7" spans="1:11" x14ac:dyDescent="0.2">
      <c r="A7" s="3" t="s">
        <v>15</v>
      </c>
      <c r="B7" s="25">
        <v>380</v>
      </c>
      <c r="C7" s="26">
        <v>1355</v>
      </c>
      <c r="D7" s="26">
        <v>543</v>
      </c>
      <c r="E7" s="26">
        <v>1045</v>
      </c>
      <c r="F7" s="26">
        <v>665</v>
      </c>
      <c r="G7" s="26">
        <v>2321</v>
      </c>
      <c r="H7" s="30">
        <v>4100</v>
      </c>
      <c r="I7" s="4">
        <v>22</v>
      </c>
    </row>
    <row r="8" spans="1:11" x14ac:dyDescent="0.2">
      <c r="A8" s="3" t="s">
        <v>16</v>
      </c>
      <c r="B8" s="25">
        <v>922</v>
      </c>
      <c r="C8" s="26">
        <v>1646</v>
      </c>
      <c r="D8" s="26">
        <v>700</v>
      </c>
      <c r="E8" s="26">
        <v>508</v>
      </c>
      <c r="F8" s="26">
        <v>311</v>
      </c>
      <c r="G8" s="26">
        <v>1797</v>
      </c>
      <c r="H8" s="30">
        <v>2200</v>
      </c>
      <c r="I8" s="4">
        <v>31</v>
      </c>
    </row>
    <row r="9" spans="1:11" ht="13.5" thickBot="1" x14ac:dyDescent="0.25">
      <c r="A9" s="32" t="s">
        <v>17</v>
      </c>
      <c r="B9" s="48">
        <v>10</v>
      </c>
      <c r="C9" s="49">
        <v>8</v>
      </c>
      <c r="D9" s="49">
        <v>14</v>
      </c>
      <c r="E9" s="49">
        <v>6</v>
      </c>
      <c r="F9" s="49">
        <v>7</v>
      </c>
      <c r="G9" s="49">
        <v>11</v>
      </c>
      <c r="H9" s="12"/>
      <c r="I9" s="6"/>
    </row>
    <row r="10" spans="1:11" x14ac:dyDescent="0.2">
      <c r="A10" s="2"/>
    </row>
    <row r="11" spans="1:11" ht="13.5" thickBot="1" x14ac:dyDescent="0.25">
      <c r="A11" s="1" t="s">
        <v>18</v>
      </c>
    </row>
    <row r="12" spans="1:11" x14ac:dyDescent="0.2">
      <c r="A12" s="14"/>
      <c r="B12" s="53" t="s">
        <v>19</v>
      </c>
      <c r="C12" s="54"/>
      <c r="D12" s="54"/>
      <c r="E12" s="54"/>
      <c r="F12" s="54"/>
      <c r="G12" s="55"/>
      <c r="H12" s="17" t="s">
        <v>20</v>
      </c>
    </row>
    <row r="13" spans="1:11" x14ac:dyDescent="0.2">
      <c r="A13" s="15" t="s">
        <v>4</v>
      </c>
      <c r="B13" s="13" t="s">
        <v>5</v>
      </c>
      <c r="C13" s="11" t="s">
        <v>6</v>
      </c>
      <c r="D13" s="11" t="s">
        <v>7</v>
      </c>
      <c r="E13" s="11" t="s">
        <v>8</v>
      </c>
      <c r="F13" s="11" t="s">
        <v>9</v>
      </c>
      <c r="G13" s="11" t="s">
        <v>10</v>
      </c>
      <c r="H13" s="18" t="s">
        <v>21</v>
      </c>
    </row>
    <row r="14" spans="1:11" x14ac:dyDescent="0.2">
      <c r="A14" s="9" t="s">
        <v>12</v>
      </c>
      <c r="B14" s="46">
        <v>0</v>
      </c>
      <c r="C14" s="46">
        <v>0</v>
      </c>
      <c r="D14" s="46">
        <v>0</v>
      </c>
      <c r="E14" s="46">
        <v>0</v>
      </c>
      <c r="F14" s="46">
        <v>0</v>
      </c>
      <c r="G14" s="46">
        <v>0</v>
      </c>
      <c r="H14" s="47">
        <v>0</v>
      </c>
      <c r="K14" s="50" t="s">
        <v>28</v>
      </c>
    </row>
    <row r="15" spans="1:11" x14ac:dyDescent="0.2">
      <c r="A15" s="3" t="s">
        <v>13</v>
      </c>
      <c r="B15" s="46">
        <v>0</v>
      </c>
      <c r="C15" s="46">
        <v>0</v>
      </c>
      <c r="D15" s="46">
        <v>0</v>
      </c>
      <c r="E15" s="46">
        <v>0</v>
      </c>
      <c r="F15" s="46">
        <v>0</v>
      </c>
      <c r="G15" s="46">
        <v>0</v>
      </c>
      <c r="H15" s="47">
        <v>0</v>
      </c>
      <c r="K15" s="52" t="s">
        <v>29</v>
      </c>
    </row>
    <row r="16" spans="1:11" x14ac:dyDescent="0.2">
      <c r="A16" s="3" t="s">
        <v>14</v>
      </c>
      <c r="B16" s="46">
        <v>0</v>
      </c>
      <c r="C16" s="46">
        <v>0</v>
      </c>
      <c r="D16" s="46">
        <v>0</v>
      </c>
      <c r="E16" s="46">
        <v>1</v>
      </c>
      <c r="F16" s="46">
        <v>0</v>
      </c>
      <c r="G16" s="46">
        <v>1</v>
      </c>
      <c r="H16" s="47">
        <v>1</v>
      </c>
    </row>
    <row r="17" spans="1:8" x14ac:dyDescent="0.2">
      <c r="A17" s="3" t="s">
        <v>15</v>
      </c>
      <c r="B17" s="46">
        <v>1</v>
      </c>
      <c r="C17" s="46">
        <v>1</v>
      </c>
      <c r="D17" s="46">
        <v>0</v>
      </c>
      <c r="E17" s="46">
        <v>0</v>
      </c>
      <c r="F17" s="46">
        <v>0</v>
      </c>
      <c r="G17" s="46">
        <v>0</v>
      </c>
      <c r="H17" s="47">
        <v>1</v>
      </c>
    </row>
    <row r="18" spans="1:8" ht="13.5" thickBot="1" x14ac:dyDescent="0.25">
      <c r="A18" s="5" t="s">
        <v>16</v>
      </c>
      <c r="B18" s="46">
        <v>0</v>
      </c>
      <c r="C18" s="46">
        <v>0</v>
      </c>
      <c r="D18" s="46">
        <v>1</v>
      </c>
      <c r="E18" s="46">
        <v>0</v>
      </c>
      <c r="F18" s="46">
        <v>1</v>
      </c>
      <c r="G18" s="46">
        <v>0</v>
      </c>
      <c r="H18" s="47">
        <v>1</v>
      </c>
    </row>
    <row r="20" spans="1:8" ht="13.5" thickBot="1" x14ac:dyDescent="0.25">
      <c r="A20" s="1" t="s">
        <v>27</v>
      </c>
    </row>
    <row r="21" spans="1:8" x14ac:dyDescent="0.2">
      <c r="A21" s="14"/>
      <c r="B21" s="53" t="s">
        <v>19</v>
      </c>
      <c r="C21" s="56"/>
      <c r="D21" s="56"/>
      <c r="E21" s="56"/>
      <c r="F21" s="56"/>
      <c r="G21" s="57"/>
    </row>
    <row r="22" spans="1:8" x14ac:dyDescent="0.2">
      <c r="A22" s="15" t="s">
        <v>4</v>
      </c>
      <c r="B22" s="13" t="s">
        <v>5</v>
      </c>
      <c r="C22" s="11" t="s">
        <v>6</v>
      </c>
      <c r="D22" s="11" t="s">
        <v>7</v>
      </c>
      <c r="E22" s="11" t="s">
        <v>8</v>
      </c>
      <c r="F22" s="11" t="s">
        <v>9</v>
      </c>
      <c r="G22" s="43" t="s">
        <v>10</v>
      </c>
    </row>
    <row r="23" spans="1:8" x14ac:dyDescent="0.2">
      <c r="A23" s="9" t="s">
        <v>12</v>
      </c>
      <c r="B23" s="44">
        <f>B$9*B14</f>
        <v>0</v>
      </c>
      <c r="C23" s="44">
        <f>C14*C$9</f>
        <v>0</v>
      </c>
      <c r="D23" s="44">
        <f t="shared" ref="C23:G27" si="0">D14*D$9</f>
        <v>0</v>
      </c>
      <c r="E23" s="45">
        <f t="shared" si="0"/>
        <v>0</v>
      </c>
      <c r="F23" s="45">
        <f>F14*F$9</f>
        <v>0</v>
      </c>
      <c r="G23" s="45">
        <f>G14*G$9</f>
        <v>0</v>
      </c>
    </row>
    <row r="24" spans="1:8" x14ac:dyDescent="0.2">
      <c r="A24" s="3" t="s">
        <v>13</v>
      </c>
      <c r="B24" s="44">
        <f>B$9*B15</f>
        <v>0</v>
      </c>
      <c r="C24" s="44">
        <f t="shared" si="0"/>
        <v>0</v>
      </c>
      <c r="D24" s="44">
        <f t="shared" si="0"/>
        <v>0</v>
      </c>
      <c r="E24" s="44">
        <f t="shared" si="0"/>
        <v>0</v>
      </c>
      <c r="F24" s="44">
        <f t="shared" si="0"/>
        <v>0</v>
      </c>
      <c r="G24" s="44">
        <f t="shared" si="0"/>
        <v>0</v>
      </c>
    </row>
    <row r="25" spans="1:8" x14ac:dyDescent="0.2">
      <c r="A25" s="3" t="s">
        <v>14</v>
      </c>
      <c r="B25" s="44">
        <f t="shared" ref="B25:B27" si="1">B$9*B16</f>
        <v>0</v>
      </c>
      <c r="C25" s="45">
        <f t="shared" si="0"/>
        <v>0</v>
      </c>
      <c r="D25" s="45">
        <f t="shared" si="0"/>
        <v>0</v>
      </c>
      <c r="E25" s="44">
        <f t="shared" si="0"/>
        <v>6</v>
      </c>
      <c r="F25" s="44">
        <f t="shared" si="0"/>
        <v>0</v>
      </c>
      <c r="G25" s="44">
        <f t="shared" si="0"/>
        <v>11</v>
      </c>
    </row>
    <row r="26" spans="1:8" x14ac:dyDescent="0.2">
      <c r="A26" s="3" t="s">
        <v>15</v>
      </c>
      <c r="B26" s="44">
        <f t="shared" si="1"/>
        <v>10</v>
      </c>
      <c r="C26" s="44">
        <f t="shared" si="0"/>
        <v>8</v>
      </c>
      <c r="D26" s="44">
        <f t="shared" si="0"/>
        <v>0</v>
      </c>
      <c r="E26" s="45">
        <f t="shared" si="0"/>
        <v>0</v>
      </c>
      <c r="F26" s="45">
        <f t="shared" si="0"/>
        <v>0</v>
      </c>
      <c r="G26" s="45">
        <f t="shared" si="0"/>
        <v>0</v>
      </c>
    </row>
    <row r="27" spans="1:8" ht="13.5" thickBot="1" x14ac:dyDescent="0.25">
      <c r="A27" s="5" t="s">
        <v>16</v>
      </c>
      <c r="B27" s="44">
        <f t="shared" si="1"/>
        <v>0</v>
      </c>
      <c r="C27" s="44">
        <f t="shared" si="0"/>
        <v>0</v>
      </c>
      <c r="D27" s="44">
        <f t="shared" si="0"/>
        <v>14</v>
      </c>
      <c r="E27" s="45">
        <f t="shared" si="0"/>
        <v>0</v>
      </c>
      <c r="F27" s="45">
        <f t="shared" si="0"/>
        <v>7</v>
      </c>
      <c r="G27" s="45">
        <f>G18*G$9</f>
        <v>0</v>
      </c>
    </row>
    <row r="29" spans="1:8" ht="13.5" thickBot="1" x14ac:dyDescent="0.25">
      <c r="A29" s="1" t="s">
        <v>22</v>
      </c>
      <c r="E29" s="38"/>
      <c r="F29" s="38"/>
      <c r="G29" s="38"/>
    </row>
    <row r="30" spans="1:8" x14ac:dyDescent="0.2">
      <c r="A30" s="20" t="s">
        <v>4</v>
      </c>
      <c r="B30" s="21" t="s">
        <v>23</v>
      </c>
      <c r="C30" s="7"/>
      <c r="D30" s="7"/>
      <c r="E30" s="7"/>
      <c r="F30" s="7"/>
      <c r="G30" s="8"/>
    </row>
    <row r="31" spans="1:8" x14ac:dyDescent="0.2">
      <c r="A31" s="3" t="s">
        <v>12</v>
      </c>
      <c r="B31" s="51">
        <f>I4*H14-SUMPRODUCT(B14:G14,$B$9:$G$9)</f>
        <v>0</v>
      </c>
      <c r="G31" s="4"/>
    </row>
    <row r="32" spans="1:8" x14ac:dyDescent="0.2">
      <c r="A32" s="3" t="s">
        <v>13</v>
      </c>
      <c r="B32" s="51">
        <f t="shared" ref="B32:B36" si="2">I5*H15-SUMPRODUCT(B15:G15,$B$9:$G$9)</f>
        <v>0</v>
      </c>
      <c r="G32" s="4"/>
    </row>
    <row r="33" spans="1:7" x14ac:dyDescent="0.2">
      <c r="A33" s="3" t="s">
        <v>14</v>
      </c>
      <c r="B33" s="51">
        <f t="shared" si="2"/>
        <v>10</v>
      </c>
      <c r="G33" s="4"/>
    </row>
    <row r="34" spans="1:7" x14ac:dyDescent="0.2">
      <c r="A34" s="3" t="s">
        <v>15</v>
      </c>
      <c r="B34" s="51">
        <f t="shared" si="2"/>
        <v>4</v>
      </c>
      <c r="G34" s="4"/>
    </row>
    <row r="35" spans="1:7" x14ac:dyDescent="0.2">
      <c r="A35" s="3" t="s">
        <v>16</v>
      </c>
      <c r="B35" s="51">
        <f t="shared" si="2"/>
        <v>10</v>
      </c>
      <c r="G35" s="4"/>
    </row>
    <row r="36" spans="1:7" x14ac:dyDescent="0.2">
      <c r="A36" s="3"/>
      <c r="B36" s="51">
        <f t="shared" si="2"/>
        <v>0</v>
      </c>
      <c r="G36" s="4"/>
    </row>
    <row r="37" spans="1:7" x14ac:dyDescent="0.2">
      <c r="A37" s="3"/>
      <c r="B37" s="13" t="s">
        <v>5</v>
      </c>
      <c r="C37" s="19" t="s">
        <v>6</v>
      </c>
      <c r="D37" s="19" t="s">
        <v>7</v>
      </c>
      <c r="E37" s="19" t="s">
        <v>8</v>
      </c>
      <c r="F37" s="19" t="s">
        <v>9</v>
      </c>
      <c r="G37" s="22" t="s">
        <v>10</v>
      </c>
    </row>
    <row r="38" spans="1:7" ht="13.5" thickBot="1" x14ac:dyDescent="0.25">
      <c r="A38" s="32" t="s">
        <v>24</v>
      </c>
      <c r="B38" s="33">
        <f>SUM(B14:B18)</f>
        <v>1</v>
      </c>
      <c r="C38" s="33">
        <f t="shared" ref="C38:G38" si="3">SUM(C14:C18)</f>
        <v>1</v>
      </c>
      <c r="D38" s="33">
        <f t="shared" si="3"/>
        <v>1</v>
      </c>
      <c r="E38" s="33">
        <f t="shared" si="3"/>
        <v>1</v>
      </c>
      <c r="F38" s="33">
        <f t="shared" si="3"/>
        <v>1</v>
      </c>
      <c r="G38" s="33">
        <f t="shared" si="3"/>
        <v>1</v>
      </c>
    </row>
    <row r="40" spans="1:7" ht="13.5" thickBot="1" x14ac:dyDescent="0.25">
      <c r="A40" s="1" t="s">
        <v>25</v>
      </c>
    </row>
    <row r="41" spans="1:7" ht="13.5" thickBot="1" x14ac:dyDescent="0.25">
      <c r="A41" s="41" t="s">
        <v>26</v>
      </c>
      <c r="B41" s="31">
        <f>SUMPRODUCT(B23:G27,B4:G8)+SUMPRODUCT(H14:H18,H4:H8)</f>
        <v>49717</v>
      </c>
      <c r="D41" s="38"/>
      <c r="G41" s="39"/>
    </row>
    <row r="42" spans="1:7" x14ac:dyDescent="0.2">
      <c r="A42" s="38"/>
      <c r="G42" s="37"/>
    </row>
    <row r="47" spans="1:7" x14ac:dyDescent="0.2">
      <c r="A47" s="1"/>
    </row>
    <row r="48" spans="1:7" x14ac:dyDescent="0.2">
      <c r="A48" s="36"/>
    </row>
    <row r="49" spans="1:2" ht="15" x14ac:dyDescent="0.25">
      <c r="A49" s="35"/>
      <c r="B49" s="34"/>
    </row>
  </sheetData>
  <mergeCells count="3">
    <mergeCell ref="B2:G2"/>
    <mergeCell ref="B12:G12"/>
    <mergeCell ref="B21:G21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BE2E2668F19C41B4D65B3E5A8A5941" ma:contentTypeVersion="0" ma:contentTypeDescription="Crée un document." ma:contentTypeScope="" ma:versionID="bac985fadf446414aec7dd495384d4d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2f11e83d12cbdd0fcf0b62744a2ab94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00955F5-FE44-4A23-95D2-B0826EFA460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8F95826-8818-426F-B5CA-234E0DE501A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BCE27A91-884F-4C46-A56D-FC63D6A33837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Demand-to-prod-facilities</vt:lpstr>
      <vt:lpstr>Single Sourcing</vt:lpstr>
      <vt:lpstr>'Demand-to-prod-facilities'!Print_Area</vt:lpstr>
    </vt:vector>
  </TitlesOfParts>
  <Manager/>
  <Company>Kellogg Graduate School of Management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Sunil Chopra</dc:creator>
  <cp:keywords/>
  <dc:description/>
  <cp:lastModifiedBy>HUMBLET Raphaël</cp:lastModifiedBy>
  <cp:revision/>
  <dcterms:created xsi:type="dcterms:W3CDTF">1999-02-07T23:04:46Z</dcterms:created>
  <dcterms:modified xsi:type="dcterms:W3CDTF">2025-01-19T15:47:16Z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0x010100E5BE2E2668F19C41B4D65B3E5A8A5941</vt:lpwstr>
  </property>
</Properties>
</file>