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elibrebruxelles-my.sharepoint.com/personal/raphael_humblet_ulb_be/Documents/ULB/MA2/ULB-GEST-H501/Exercices/Block 6/"/>
    </mc:Choice>
  </mc:AlternateContent>
  <xr:revisionPtr revIDLastSave="25443" documentId="13_ncr:1_{F4F600C9-5096-9B44-B459-D23B2E876E03}" xr6:coauthVersionLast="47" xr6:coauthVersionMax="47" xr10:uidLastSave="{CED84E84-8C88-4FE5-9CDE-24ADFE090AA5}"/>
  <bookViews>
    <workbookView xWindow="-98" yWindow="-98" windowWidth="23236" windowHeight="13875" xr2:uid="{00000000-000D-0000-FFFF-FFFF00000000}"/>
  </bookViews>
  <sheets>
    <sheet name="Demand-to-prod-facilities" sheetId="3" r:id="rId1"/>
    <sheet name="Single Sourcing" sheetId="4" r:id="rId2"/>
    <sheet name="Trial of Facility Model" sheetId="5" r:id="rId3"/>
  </sheets>
  <definedNames>
    <definedName name="solver_adj" localSheetId="0" hidden="1">'Demand-to-prod-facilities'!$B$14:$G$18</definedName>
    <definedName name="solver_adj" localSheetId="1" hidden="1">'Single Sourcing'!$B$14:$H$18</definedName>
    <definedName name="solver_cvg" localSheetId="0" hidden="1">0.001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dua" localSheetId="0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bd" localSheetId="0" hidden="1">2</definedName>
    <definedName name="solver_itr" localSheetId="0" hidden="1">100</definedName>
    <definedName name="solver_itr" localSheetId="1" hidden="1">2147483647</definedName>
    <definedName name="solver_lhs1" localSheetId="0" hidden="1">'Demand-to-prod-facilities'!$B$14:$G$18</definedName>
    <definedName name="solver_lhs1" localSheetId="1" hidden="1">'Single Sourcing'!$B$14:$H$18</definedName>
    <definedName name="solver_lhs2" localSheetId="0" hidden="1">'Demand-to-prod-facilities'!$B$31:$B$35</definedName>
    <definedName name="solver_lhs2" localSheetId="1" hidden="1">'Single Sourcing'!$B$31:$B$36</definedName>
    <definedName name="solver_lhs3" localSheetId="0" hidden="1">'Demand-to-prod-facilities'!$B$38:$G$38</definedName>
    <definedName name="solver_lhs3" localSheetId="1" hidden="1">'Single Sourcing'!$B$38:$G$38</definedName>
    <definedName name="solver_lhs4" localSheetId="0" hidden="1">'Demand-to-prod-facilities'!$E$38:$G$38</definedName>
    <definedName name="solver_lhs5" localSheetId="0" hidden="1">'Demand-to-prod-facilities'!$B$33</definedName>
    <definedName name="solver_lhs6" localSheetId="0" hidden="1">'Demand-to-prod-facilities'!$E$38:$G$38</definedName>
    <definedName name="solver_lin" localSheetId="0" hidden="1">2</definedName>
    <definedName name="solver_lva" localSheetId="0" hidden="1">2</definedName>
    <definedName name="solver_mip" localSheetId="0" hidden="1">1000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1</definedName>
    <definedName name="solver_nod" localSheetId="0" hidden="1">1000</definedName>
    <definedName name="solver_nod" localSheetId="1" hidden="1">2147483647</definedName>
    <definedName name="solver_num" localSheetId="0" hidden="1">3</definedName>
    <definedName name="solver_num" localSheetId="1" hidden="1">3</definedName>
    <definedName name="solver_nwt" localSheetId="0" hidden="1">1</definedName>
    <definedName name="solver_nwt" localSheetId="1" hidden="1">1</definedName>
    <definedName name="solver_ofx" localSheetId="0" hidden="1">2</definedName>
    <definedName name="solver_opt" localSheetId="0" hidden="1">'Demand-to-prod-facilities'!$B$41</definedName>
    <definedName name="solver_opt" localSheetId="1" hidden="1">'Single Sourcing'!$B$41</definedName>
    <definedName name="solver_pre" localSheetId="0" hidden="1">0.000001</definedName>
    <definedName name="solver_pre" localSheetId="1" hidden="1">0.000001</definedName>
    <definedName name="solver_pro" localSheetId="0" hidden="1">2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5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2</definedName>
    <definedName name="solver_rel4" localSheetId="0" hidden="1">2</definedName>
    <definedName name="solver_rel5" localSheetId="0" hidden="1">3</definedName>
    <definedName name="solver_rel6" localSheetId="0" hidden="1">2</definedName>
    <definedName name="solver_reo" localSheetId="0" hidden="1">2</definedName>
    <definedName name="solver_rep" localSheetId="0" hidden="1">2</definedName>
    <definedName name="solver_rhs1" localSheetId="0" hidden="1">0</definedName>
    <definedName name="solver_rhs1" localSheetId="1" hidden="1">"binaire"</definedName>
    <definedName name="solver_rhs2" localSheetId="0" hidden="1">0</definedName>
    <definedName name="solver_rhs2" localSheetId="1" hidden="1">0</definedName>
    <definedName name="solver_rhs3" localSheetId="0" hidden="1">0</definedName>
    <definedName name="solver_rhs3" localSheetId="1" hidden="1">1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0</definedName>
    <definedName name="solver_ssz" localSheetId="1" hidden="1">100</definedName>
    <definedName name="solver_tim" localSheetId="0" hidden="1">100</definedName>
    <definedName name="solver_tim" localSheetId="1" hidden="1">2147483647</definedName>
    <definedName name="solver_tms" localSheetId="0" hidden="1">2</definedName>
    <definedName name="solver_tol" localSheetId="0" hidden="1">0.05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_xlnm.Print_Area" localSheetId="0">'Demand-to-prod-facilities'!$A$1:$I$70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3" l="1"/>
  <c r="B31" i="4"/>
  <c r="B38" i="4"/>
  <c r="B36" i="5"/>
  <c r="B35" i="5"/>
  <c r="B34" i="5"/>
  <c r="B33" i="5"/>
  <c r="B32" i="5"/>
  <c r="B31" i="5"/>
  <c r="B41" i="5"/>
  <c r="G38" i="5"/>
  <c r="F38" i="5"/>
  <c r="E38" i="5"/>
  <c r="D38" i="5"/>
  <c r="C38" i="5"/>
  <c r="B38" i="5"/>
  <c r="G27" i="5"/>
  <c r="F27" i="5"/>
  <c r="E27" i="5"/>
  <c r="D27" i="5"/>
  <c r="C27" i="5"/>
  <c r="B27" i="5"/>
  <c r="G26" i="5"/>
  <c r="F26" i="5"/>
  <c r="E26" i="5"/>
  <c r="D26" i="5"/>
  <c r="C26" i="5"/>
  <c r="B26" i="5"/>
  <c r="G25" i="5"/>
  <c r="F25" i="5"/>
  <c r="E25" i="5"/>
  <c r="D25" i="5"/>
  <c r="C25" i="5"/>
  <c r="B25" i="5"/>
  <c r="G24" i="5"/>
  <c r="F24" i="5"/>
  <c r="E24" i="5"/>
  <c r="D24" i="5"/>
  <c r="C24" i="5"/>
  <c r="B24" i="5"/>
  <c r="G23" i="5"/>
  <c r="F23" i="5"/>
  <c r="E23" i="5"/>
  <c r="D23" i="5"/>
  <c r="C23" i="5"/>
  <c r="B23" i="5"/>
  <c r="B23" i="3"/>
  <c r="B41" i="3"/>
  <c r="C38" i="4"/>
  <c r="D38" i="4"/>
  <c r="E38" i="4"/>
  <c r="F38" i="4"/>
  <c r="G38" i="4"/>
  <c r="B36" i="4"/>
  <c r="B35" i="4"/>
  <c r="B34" i="4"/>
  <c r="B33" i="4"/>
  <c r="B32" i="4"/>
  <c r="C23" i="4"/>
  <c r="B25" i="4"/>
  <c r="B26" i="4"/>
  <c r="B27" i="4"/>
  <c r="B24" i="4"/>
  <c r="B23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G24" i="4"/>
  <c r="F24" i="4"/>
  <c r="E24" i="4"/>
  <c r="D24" i="4"/>
  <c r="C24" i="4"/>
  <c r="G23" i="4"/>
  <c r="F23" i="4"/>
  <c r="E23" i="4"/>
  <c r="D23" i="4"/>
  <c r="C38" i="3"/>
  <c r="D38" i="3"/>
  <c r="E38" i="3"/>
  <c r="F38" i="3"/>
  <c r="G38" i="3"/>
  <c r="B38" i="3"/>
  <c r="B32" i="3"/>
  <c r="B33" i="3"/>
  <c r="B34" i="3"/>
  <c r="B35" i="3"/>
  <c r="B36" i="3"/>
  <c r="B26" i="3"/>
  <c r="B24" i="3"/>
  <c r="G27" i="3"/>
  <c r="G23" i="3"/>
  <c r="F23" i="3"/>
  <c r="B25" i="3"/>
  <c r="B27" i="3"/>
  <c r="F27" i="3"/>
  <c r="E27" i="3"/>
  <c r="D27" i="3"/>
  <c r="C27" i="3"/>
  <c r="G26" i="3"/>
  <c r="F26" i="3"/>
  <c r="E26" i="3"/>
  <c r="D26" i="3"/>
  <c r="C26" i="3"/>
  <c r="G25" i="3"/>
  <c r="F25" i="3"/>
  <c r="E25" i="3"/>
  <c r="D25" i="3"/>
  <c r="C25" i="3"/>
  <c r="G24" i="3"/>
  <c r="F24" i="3"/>
  <c r="E24" i="3"/>
  <c r="D24" i="3"/>
  <c r="C24" i="3"/>
  <c r="E23" i="3"/>
  <c r="D23" i="3"/>
  <c r="C23" i="3"/>
  <c r="B41" i="4" l="1"/>
</calcChain>
</file>

<file path=xl/sharedStrings.xml><?xml version="1.0" encoding="utf-8"?>
<sst xmlns="http://schemas.openxmlformats.org/spreadsheetml/2006/main" count="256" uniqueCount="55">
  <si>
    <t>Inputs - Costs, Capacities, Demands (HighOptic &amp; TelecomOne &gt;&gt; merged as TelecomOptic)</t>
  </si>
  <si>
    <t>Demand City
Production and Transportation Cost per 1000 Units</t>
  </si>
  <si>
    <t xml:space="preserve">Fixed </t>
  </si>
  <si>
    <t>Capacity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</si>
  <si>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</si>
  <si>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</si>
  <si>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</si>
  <si>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</si>
  <si>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</si>
  <si>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</si>
  <si>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</si>
  <si>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</si>
  <si>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</si>
  <si>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</si>
  <si>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</si>
  <si>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</si>
  <si>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</si>
  <si>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</si>
  <si>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</si>
  <si>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</si>
  <si>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</si>
  <si>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</si>
  <si>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</si>
  <si>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</si>
  <si>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</si>
  <si>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</si>
  <si>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</si>
  <si>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Resulting Production Allocation</t>
  </si>
  <si>
    <t>X Variables</t>
  </si>
  <si>
    <t>y var</t>
  </si>
  <si>
    <t>j=1</t>
  </si>
  <si>
    <t>j=2</t>
  </si>
  <si>
    <t>j=3</t>
  </si>
  <si>
    <t>j=4</t>
  </si>
  <si>
    <t>j=5</t>
  </si>
  <si>
    <t>i=1</t>
  </si>
  <si>
    <t>i=2</t>
  </si>
  <si>
    <t>i=3</t>
  </si>
  <si>
    <t>i=4</t>
  </si>
  <si>
    <t>i=5</t>
  </si>
  <si>
    <t>j=6</t>
  </si>
  <si>
    <t>Dj</t>
  </si>
  <si>
    <t>Ki</t>
  </si>
  <si>
    <t>Production &lt;= Capacity</t>
  </si>
  <si>
    <t>All demand is satisfied</t>
  </si>
  <si>
    <t>&lt;= 0</t>
  </si>
  <si>
    <t>&gt;= 0</t>
  </si>
  <si>
    <t>is = 1</t>
  </si>
  <si>
    <t>Binary</t>
  </si>
  <si>
    <t>Solver</t>
  </si>
  <si>
    <t>Contraintes</t>
  </si>
  <si>
    <t>binary</t>
  </si>
  <si>
    <t>Supposed values with initial data</t>
  </si>
  <si>
    <t>Here, must be 1 !!!</t>
  </si>
  <si>
    <t>All demand is satisfied, should be 0 in this case!!!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</si>
</sst>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4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4" fillId="0" borderId="22" xfId="0" applyFont="1" applyBorder="1"/>
    <xf numFmtId="0" fontId="4" fillId="0" borderId="23" xfId="0" applyFont="1" applyBorder="1"/>
    <xf numFmtId="0" fontId="0" fillId="0" borderId="24" xfId="0" applyBorder="1" applyAlignment="1">
      <alignment horizontal="right"/>
    </xf>
    <xf numFmtId="167" fontId="0" fillId="0" borderId="25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26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27" xfId="1" applyNumberFormat="1" applyFont="1" applyBorder="1"/>
    <xf numFmtId="167" fontId="0" fillId="0" borderId="28" xfId="1" applyNumberFormat="1" applyFont="1" applyBorder="1"/>
    <xf numFmtId="166" fontId="0" fillId="0" borderId="30" xfId="2" applyNumberFormat="1" applyFont="1" applyBorder="1"/>
    <xf numFmtId="0" fontId="4" fillId="0" borderId="4" xfId="0" applyFont="1" applyBorder="1"/>
    <xf numFmtId="1" fontId="0" fillId="0" borderId="16" xfId="0" applyNumberFormat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4" fillId="0" borderId="0" xfId="0" applyFont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31" xfId="0" applyFont="1" applyBorder="1" applyAlignment="1">
      <alignment horizontal="right"/>
    </xf>
    <xf numFmtId="0" fontId="2" fillId="0" borderId="29" xfId="0" applyFont="1" applyBorder="1" applyAlignment="1">
      <alignment horizontal="right"/>
    </xf>
    <xf numFmtId="0" fontId="2" fillId="0" borderId="0" xfId="0" applyFont="1" applyAlignment="1">
      <alignment horizontal="left" vertical="center"/>
    </xf>
    <xf numFmtId="0" fontId="0" fillId="0" borderId="33" xfId="0" applyBorder="1" applyAlignment="1">
      <alignment horizontal="right"/>
    </xf>
    <xf numFmtId="1" fontId="1" fillId="0" borderId="34" xfId="1" applyNumberFormat="1" applyFill="1" applyBorder="1"/>
    <xf numFmtId="1" fontId="1" fillId="0" borderId="34" xfId="1" applyNumberFormat="1" applyBorder="1"/>
    <xf numFmtId="1" fontId="0" fillId="2" borderId="34" xfId="0" applyNumberFormat="1" applyFill="1" applyBorder="1"/>
    <xf numFmtId="0" fontId="0" fillId="3" borderId="34" xfId="0" applyFill="1" applyBorder="1" applyAlignment="1">
      <alignment horizontal="right"/>
    </xf>
    <xf numFmtId="0" fontId="7" fillId="4" borderId="16" xfId="0" applyFont="1" applyFill="1" applyBorder="1"/>
    <xf numFmtId="0" fontId="7" fillId="4" borderId="5" xfId="0" applyFont="1" applyFill="1" applyBorder="1"/>
    <xf numFmtId="0" fontId="1" fillId="2" borderId="0" xfId="0" applyFont="1" applyFill="1"/>
    <xf numFmtId="1" fontId="0" fillId="0" borderId="34" xfId="0" applyNumberFormat="1" applyBorder="1"/>
    <xf numFmtId="0" fontId="1" fillId="3" borderId="0" xfId="0" applyFont="1" applyFill="1"/>
    <xf numFmtId="0" fontId="1" fillId="0" borderId="0" xfId="0" applyFont="1"/>
    <xf numFmtId="0" fontId="4" fillId="0" borderId="23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5" borderId="2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20" fontId="0" fillId="0" borderId="0" xfId="0" applyNumberFormat="1"/>
    <xf numFmtId="0" fontId="1" fillId="5" borderId="0" xfId="0" applyFont="1" applyFill="1"/>
    <xf numFmtId="0" fontId="1" fillId="0" borderId="2" xfId="0" applyFont="1" applyBorder="1"/>
    <xf numFmtId="1" fontId="0" fillId="6" borderId="16" xfId="0" applyNumberFormat="1" applyFill="1" applyBorder="1"/>
    <xf numFmtId="0" fontId="1" fillId="6" borderId="0" xfId="0" applyFont="1" applyFill="1"/>
    <xf numFmtId="0" fontId="1" fillId="7" borderId="0" xfId="0" applyFont="1" applyFill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7" borderId="34" xfId="0" applyNumberFormat="1" applyFill="1" applyBorder="1"/>
    <xf numFmtId="0" fontId="1" fillId="8" borderId="0" xfId="0" applyFont="1" applyFill="1" applyAlignment="1">
      <alignment horizontal="center" vertical="center" wrapText="1"/>
    </xf>
    <xf numFmtId="1" fontId="0" fillId="9" borderId="34" xfId="0" applyNumberFormat="1" applyFill="1" applyBorder="1"/>
    <xf numFmtId="1" fontId="0" fillId="10" borderId="16" xfId="0" applyNumberFormat="1" applyFill="1" applyBorder="1"/>
    <xf numFmtId="0" fontId="1" fillId="10" borderId="0" xfId="0" applyFont="1" applyFill="1"/>
  </cellXfs>
  <cellStyles count="3">
    <cellStyle name="Milliers" xfId="1" builtinId="3"/>
    <cellStyle name="Monétaire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20</xdr:row>
      <xdr:rowOff>0</xdr:rowOff>
    </xdr:from>
    <xdr:to>
      <xdr:col>16</xdr:col>
      <xdr:colOff>304800</xdr:colOff>
      <xdr:row>21</xdr:row>
      <xdr:rowOff>95251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C9D7A282-F3CD-CAFB-24C0-2FC04F57F4DE}"/>
            </a:ext>
          </a:extLst>
        </xdr:cNvPr>
        <xdr:cNvSpPr>
          <a:spLocks noChangeAspect="1" noChangeArrowheads="1"/>
        </xdr:cNvSpPr>
      </xdr:nvSpPr>
      <xdr:spPr bwMode="auto">
        <a:xfrm>
          <a:off x="10553700" y="385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431131</xdr:colOff>
      <xdr:row>5</xdr:row>
      <xdr:rowOff>0</xdr:rowOff>
    </xdr:from>
    <xdr:to>
      <xdr:col>24</xdr:col>
      <xdr:colOff>114326</xdr:colOff>
      <xdr:row>22</xdr:row>
      <xdr:rowOff>174659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A5957F-3BC2-BB0A-BBF6-0D8FC11CB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41105" y="1303421"/>
          <a:ext cx="7373379" cy="3762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386603</xdr:colOff>
      <xdr:row>20</xdr:row>
      <xdr:rowOff>5601</xdr:rowOff>
    </xdr:from>
    <xdr:to>
      <xdr:col>16</xdr:col>
      <xdr:colOff>196927</xdr:colOff>
      <xdr:row>31</xdr:row>
      <xdr:rowOff>109516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A2C33F-A507-80C7-4C4B-5EA549D2A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015" y="3294528"/>
          <a:ext cx="6309736" cy="1908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40821</xdr:colOff>
      <xdr:row>13</xdr:row>
      <xdr:rowOff>68036</xdr:rowOff>
    </xdr:from>
    <xdr:to>
      <xdr:col>25</xdr:col>
      <xdr:colOff>271048</xdr:colOff>
      <xdr:row>37</xdr:row>
      <xdr:rowOff>75392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3AF5039-6ADC-D5F0-9B63-212797417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1" y="2224769"/>
          <a:ext cx="11660227" cy="39534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61"/>
  <sheetViews>
    <sheetView showGridLines="0" tabSelected="1" topLeftCell="A10" zoomScale="85" zoomScaleNormal="85" workbookViewId="0">
      <selection activeCell="E43" sqref="E43"/>
    </sheetView>
  </sheetViews>
  <sheetFormatPr baseColWidth="10" defaultColWidth="8.86328125" defaultRowHeight="12.75" x14ac:dyDescent="0.35"/>
  <cols>
    <col min="1" max="1" width="14.73046875" customWidth="1"/>
    <col min="2" max="2" width="11.86328125" bestFit="1" customWidth="1"/>
    <col min="3" max="3" width="8.3984375" bestFit="1" customWidth="1"/>
    <col min="4" max="4" width="9.3984375" bestFit="1" customWidth="1"/>
    <col min="5" max="5" width="8.86328125" bestFit="1" customWidth="1"/>
    <col min="6" max="6" width="8.3984375" bestFit="1" customWidth="1"/>
    <col min="7" max="7" width="12.3984375" bestFit="1" customWidth="1"/>
    <col min="8" max="8" width="8.73046875" customWidth="1"/>
    <col min="9" max="9" width="10.86328125" customWidth="1"/>
    <col min="11" max="11" width="11.3984375" bestFit="1" customWidth="1"/>
  </cols>
  <sheetData>
    <row r="1" spans="1:12" ht="38.1" customHeight="1" thickBot="1" x14ac:dyDescent="0.4">
      <c r="A1" s="42" t="s">
        <v>0</v>
      </c>
    </row>
    <row r="2" spans="1:12" ht="27" customHeight="1" x14ac:dyDescent="0.4">
      <c r="A2" s="14"/>
      <c r="B2" s="54" t="s">
        <v>1</v>
      </c>
      <c r="C2" s="55"/>
      <c r="D2" s="55"/>
      <c r="E2" s="55"/>
      <c r="F2" s="55"/>
      <c r="G2" s="56"/>
      <c r="H2" s="27" t="s">
        <v>2</v>
      </c>
      <c r="I2" s="28" t="s">
        <v>3</v>
      </c>
    </row>
    <row r="3" spans="1:12" ht="13.15" x14ac:dyDescent="0.4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2" x14ac:dyDescent="0.3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2" x14ac:dyDescent="0.3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2" x14ac:dyDescent="0.3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2" x14ac:dyDescent="0.3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2" x14ac:dyDescent="0.3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2" ht="13.15" thickBot="1" x14ac:dyDescent="0.4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  <c r="J9" s="50" t="s">
        <v>41</v>
      </c>
    </row>
    <row r="10" spans="1:12" ht="21" customHeight="1" x14ac:dyDescent="0.35">
      <c r="A10" s="2"/>
      <c r="I10" s="50" t="s">
        <v>42</v>
      </c>
    </row>
    <row r="11" spans="1:12" ht="13.15" thickBot="1" x14ac:dyDescent="0.4">
      <c r="A11" s="1" t="s">
        <v>18</v>
      </c>
    </row>
    <row r="12" spans="1:12" x14ac:dyDescent="0.35">
      <c r="A12" s="14"/>
      <c r="B12" s="54" t="s">
        <v>19</v>
      </c>
      <c r="C12" s="55"/>
      <c r="D12" s="55"/>
      <c r="E12" s="55"/>
      <c r="F12" s="55"/>
      <c r="G12" s="56"/>
      <c r="H12" s="17" t="s">
        <v>20</v>
      </c>
    </row>
    <row r="13" spans="1:12" x14ac:dyDescent="0.3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2" x14ac:dyDescent="0.35">
      <c r="A14" s="9" t="s">
        <v>12</v>
      </c>
      <c r="B14" s="46">
        <v>0</v>
      </c>
      <c r="C14" s="46">
        <v>8</v>
      </c>
      <c r="D14" s="46">
        <v>2.0000000000000098</v>
      </c>
      <c r="E14" s="46">
        <v>0</v>
      </c>
      <c r="F14" s="46">
        <v>0</v>
      </c>
      <c r="G14" s="46">
        <v>0</v>
      </c>
      <c r="H14" s="47">
        <v>1</v>
      </c>
      <c r="I14" s="61"/>
      <c r="J14" s="53" t="s">
        <v>35</v>
      </c>
      <c r="K14" s="50" t="s">
        <v>28</v>
      </c>
    </row>
    <row r="15" spans="1:12" x14ac:dyDescent="0.35">
      <c r="A15" s="3" t="s">
        <v>13</v>
      </c>
      <c r="B15" s="46">
        <v>0</v>
      </c>
      <c r="C15" s="46">
        <v>0</v>
      </c>
      <c r="D15" s="46">
        <v>0</v>
      </c>
      <c r="E15" s="46">
        <v>5.9999999999999991</v>
      </c>
      <c r="F15" s="46">
        <v>0</v>
      </c>
      <c r="G15" s="46">
        <v>0</v>
      </c>
      <c r="H15" s="47">
        <v>1</v>
      </c>
      <c r="J15" s="53" t="s">
        <v>36</v>
      </c>
    </row>
    <row r="16" spans="1:12" ht="13.15" x14ac:dyDescent="0.4">
      <c r="A16" s="3" t="s">
        <v>14</v>
      </c>
      <c r="B16" s="46">
        <v>0</v>
      </c>
      <c r="C16" s="46">
        <v>0</v>
      </c>
      <c r="D16" s="46">
        <v>0</v>
      </c>
      <c r="E16" s="46">
        <v>0</v>
      </c>
      <c r="F16" s="46">
        <v>0</v>
      </c>
      <c r="G16" s="46">
        <v>10.999999999999998</v>
      </c>
      <c r="H16" s="47">
        <v>1</v>
      </c>
      <c r="J16" s="53" t="s">
        <v>37</v>
      </c>
      <c r="L16" s="38"/>
    </row>
    <row r="17" spans="1:19" x14ac:dyDescent="0.35">
      <c r="A17" s="3" t="s">
        <v>15</v>
      </c>
      <c r="B17" s="46">
        <v>10.000000000000002</v>
      </c>
      <c r="C17" s="46">
        <v>0</v>
      </c>
      <c r="D17" s="46">
        <v>11.999999999999996</v>
      </c>
      <c r="E17" s="46">
        <v>0</v>
      </c>
      <c r="F17" s="46">
        <v>0</v>
      </c>
      <c r="G17" s="46">
        <v>0</v>
      </c>
      <c r="H17" s="47">
        <v>1</v>
      </c>
      <c r="J17" s="53" t="s">
        <v>38</v>
      </c>
    </row>
    <row r="18" spans="1:19" ht="18" customHeight="1" thickBot="1" x14ac:dyDescent="0.4">
      <c r="A18" s="5" t="s">
        <v>16</v>
      </c>
      <c r="B18" s="46">
        <v>0</v>
      </c>
      <c r="C18" s="46">
        <v>0</v>
      </c>
      <c r="D18" s="46">
        <v>0</v>
      </c>
      <c r="E18" s="46">
        <v>0</v>
      </c>
      <c r="F18" s="46">
        <v>7.0000000000000036</v>
      </c>
      <c r="G18" s="46">
        <v>0</v>
      </c>
      <c r="H18" s="47">
        <v>1</v>
      </c>
      <c r="J18" s="53" t="s">
        <v>39</v>
      </c>
    </row>
    <row r="19" spans="1:19" ht="51.75" customHeight="1" x14ac:dyDescent="0.35">
      <c r="B19" s="53" t="s">
        <v>30</v>
      </c>
      <c r="C19" s="53" t="s">
        <v>31</v>
      </c>
      <c r="D19" s="53" t="s">
        <v>32</v>
      </c>
      <c r="E19" s="53" t="s">
        <v>33</v>
      </c>
      <c r="F19" s="53" t="s">
        <v>34</v>
      </c>
      <c r="G19" s="53" t="s">
        <v>40</v>
      </c>
      <c r="H19" s="70" t="s">
        <v>53</v>
      </c>
    </row>
    <row r="20" spans="1:19" ht="18" customHeight="1" thickBot="1" x14ac:dyDescent="0.4">
      <c r="A20" s="1" t="s">
        <v>27</v>
      </c>
    </row>
    <row r="21" spans="1:19" ht="17.100000000000001" customHeight="1" x14ac:dyDescent="0.35">
      <c r="A21" s="14"/>
      <c r="B21" s="54" t="s">
        <v>19</v>
      </c>
      <c r="C21" s="57"/>
      <c r="D21" s="57"/>
      <c r="E21" s="57"/>
      <c r="F21" s="57"/>
      <c r="G21" s="58"/>
    </row>
    <row r="22" spans="1:19" ht="17.100000000000001" customHeight="1" x14ac:dyDescent="0.3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19" ht="17.100000000000001" customHeight="1" x14ac:dyDescent="0.35">
      <c r="A23" s="9" t="s">
        <v>12</v>
      </c>
      <c r="B23" s="44">
        <f>B14*B$9</f>
        <v>0</v>
      </c>
      <c r="C23" s="44">
        <f t="shared" ref="C23:G27" si="0">C14*C$9</f>
        <v>64</v>
      </c>
      <c r="D23" s="44">
        <f t="shared" si="0"/>
        <v>28.000000000000135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19" ht="17.100000000000001" customHeight="1" x14ac:dyDescent="0.35">
      <c r="A24" s="3" t="s">
        <v>13</v>
      </c>
      <c r="B24" s="44">
        <f>B15*B$9</f>
        <v>0</v>
      </c>
      <c r="C24" s="44">
        <f t="shared" si="0"/>
        <v>0</v>
      </c>
      <c r="D24" s="44">
        <f t="shared" si="0"/>
        <v>0</v>
      </c>
      <c r="E24" s="44">
        <f t="shared" si="0"/>
        <v>35.999999999999993</v>
      </c>
      <c r="F24" s="44">
        <f t="shared" si="0"/>
        <v>0</v>
      </c>
      <c r="G24" s="44">
        <f t="shared" si="0"/>
        <v>0</v>
      </c>
    </row>
    <row r="25" spans="1:19" ht="17.100000000000001" customHeight="1" x14ac:dyDescent="0.35">
      <c r="A25" s="3" t="s">
        <v>14</v>
      </c>
      <c r="B25" s="44">
        <f t="shared" ref="B25:B27" si="1">B16*B$9</f>
        <v>0</v>
      </c>
      <c r="C25" s="45">
        <f t="shared" si="0"/>
        <v>0</v>
      </c>
      <c r="D25" s="45">
        <f t="shared" si="0"/>
        <v>0</v>
      </c>
      <c r="E25" s="44">
        <f t="shared" si="0"/>
        <v>0</v>
      </c>
      <c r="F25" s="44">
        <f t="shared" si="0"/>
        <v>0</v>
      </c>
      <c r="G25" s="44">
        <f t="shared" si="0"/>
        <v>120.99999999999999</v>
      </c>
    </row>
    <row r="26" spans="1:19" ht="17.100000000000001" customHeight="1" x14ac:dyDescent="0.35">
      <c r="A26" s="3" t="s">
        <v>15</v>
      </c>
      <c r="B26" s="44">
        <f>B17*B$9</f>
        <v>100.00000000000001</v>
      </c>
      <c r="C26" s="44">
        <f t="shared" si="0"/>
        <v>0</v>
      </c>
      <c r="D26" s="44">
        <f t="shared" si="0"/>
        <v>167.99999999999994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19" ht="17.100000000000001" customHeight="1" thickBot="1" x14ac:dyDescent="0.4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0</v>
      </c>
      <c r="E27" s="45">
        <f t="shared" si="0"/>
        <v>0</v>
      </c>
      <c r="F27" s="45">
        <f t="shared" si="0"/>
        <v>49.000000000000028</v>
      </c>
      <c r="G27" s="45">
        <f>G18*G$9</f>
        <v>0</v>
      </c>
      <c r="L27" s="53" t="s">
        <v>52</v>
      </c>
    </row>
    <row r="28" spans="1:19" ht="17.100000000000001" customHeight="1" x14ac:dyDescent="0.35"/>
    <row r="29" spans="1:19" ht="18" customHeight="1" thickBot="1" x14ac:dyDescent="0.45">
      <c r="A29" s="1" t="s">
        <v>22</v>
      </c>
      <c r="E29" s="38"/>
      <c r="F29" s="38"/>
      <c r="G29" s="38"/>
      <c r="M29" s="46">
        <v>0</v>
      </c>
      <c r="N29" s="46">
        <v>8</v>
      </c>
      <c r="O29" s="46">
        <v>2.0000000000000098</v>
      </c>
      <c r="P29" s="46">
        <v>0</v>
      </c>
      <c r="Q29" s="46">
        <v>0</v>
      </c>
      <c r="R29" s="46">
        <v>0</v>
      </c>
      <c r="S29" s="47">
        <v>1</v>
      </c>
    </row>
    <row r="30" spans="1:19" x14ac:dyDescent="0.35">
      <c r="A30" s="20" t="s">
        <v>4</v>
      </c>
      <c r="B30" s="21" t="s">
        <v>23</v>
      </c>
      <c r="C30" s="7"/>
      <c r="D30" s="7"/>
      <c r="E30" s="7"/>
      <c r="F30" s="7"/>
      <c r="G30" s="8"/>
      <c r="M30" s="46">
        <v>0</v>
      </c>
      <c r="N30" s="46">
        <v>0</v>
      </c>
      <c r="O30" s="46">
        <v>0</v>
      </c>
      <c r="P30" s="46">
        <v>5.9999999999999991</v>
      </c>
      <c r="Q30" s="46">
        <v>0</v>
      </c>
      <c r="R30" s="46">
        <v>0</v>
      </c>
      <c r="S30" s="47">
        <v>1</v>
      </c>
    </row>
    <row r="31" spans="1:19" x14ac:dyDescent="0.35">
      <c r="A31" s="3" t="s">
        <v>12</v>
      </c>
      <c r="B31" s="71">
        <f>I4*H14-SUM(B14:G14)</f>
        <v>7.9999999999999893</v>
      </c>
      <c r="G31" s="4"/>
      <c r="H31" s="59" t="s">
        <v>43</v>
      </c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10.999999999999998</v>
      </c>
      <c r="S31" s="47">
        <v>1</v>
      </c>
    </row>
    <row r="32" spans="1:19" x14ac:dyDescent="0.35">
      <c r="A32" s="3" t="s">
        <v>13</v>
      </c>
      <c r="B32" s="71">
        <f t="shared" ref="B32:B35" si="2">I5*H15-SUM(B15:G15)</f>
        <v>18</v>
      </c>
      <c r="G32" s="4"/>
      <c r="H32" s="60"/>
      <c r="M32" s="46">
        <v>10.000000000000002</v>
      </c>
      <c r="N32" s="46">
        <v>0</v>
      </c>
      <c r="O32" s="46">
        <v>11.999999999999996</v>
      </c>
      <c r="P32" s="46">
        <v>0</v>
      </c>
      <c r="Q32" s="46">
        <v>0</v>
      </c>
      <c r="R32" s="46">
        <v>0</v>
      </c>
      <c r="S32" s="47">
        <v>1</v>
      </c>
    </row>
    <row r="33" spans="1:19" x14ac:dyDescent="0.35">
      <c r="A33" s="3" t="s">
        <v>14</v>
      </c>
      <c r="B33" s="71">
        <f t="shared" si="2"/>
        <v>16</v>
      </c>
      <c r="G33" s="4"/>
      <c r="H33" s="60"/>
      <c r="M33" s="46">
        <v>0</v>
      </c>
      <c r="N33" s="46">
        <v>0</v>
      </c>
      <c r="O33" s="46">
        <v>0</v>
      </c>
      <c r="P33" s="46">
        <v>0</v>
      </c>
      <c r="Q33" s="46">
        <v>7.0000000000000036</v>
      </c>
      <c r="R33" s="46">
        <v>0</v>
      </c>
      <c r="S33" s="47">
        <v>1</v>
      </c>
    </row>
    <row r="34" spans="1:19" x14ac:dyDescent="0.35">
      <c r="A34" s="3" t="s">
        <v>15</v>
      </c>
      <c r="B34" s="71">
        <f t="shared" si="2"/>
        <v>0</v>
      </c>
      <c r="G34" s="4"/>
      <c r="H34" s="60"/>
    </row>
    <row r="35" spans="1:19" x14ac:dyDescent="0.35">
      <c r="A35" s="3" t="s">
        <v>16</v>
      </c>
      <c r="B35" s="71">
        <f t="shared" si="2"/>
        <v>23.999999999999996</v>
      </c>
      <c r="G35" s="4"/>
      <c r="H35" s="60"/>
    </row>
    <row r="36" spans="1:19" ht="1.5" customHeight="1" x14ac:dyDescent="0.35">
      <c r="A36" s="3"/>
      <c r="B36" s="51" t="e">
        <f t="shared" ref="B36" si="3">I9*H19-SUMPRODUCT(B19:G19,B$9:G$9)</f>
        <v>#VALUE!</v>
      </c>
      <c r="G36" s="4"/>
    </row>
    <row r="37" spans="1:19" x14ac:dyDescent="0.3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  <c r="M37" s="53" t="s">
        <v>49</v>
      </c>
      <c r="N37" s="53" t="s">
        <v>50</v>
      </c>
    </row>
    <row r="38" spans="1:19" ht="13.15" thickBot="1" x14ac:dyDescent="0.4">
      <c r="A38" s="32" t="s">
        <v>24</v>
      </c>
      <c r="B38" s="72">
        <f>B9-SUM(B14:B18)</f>
        <v>0</v>
      </c>
      <c r="C38" s="72">
        <f t="shared" ref="C38:G38" si="4">C9-SUM(C14:C18)</f>
        <v>0</v>
      </c>
      <c r="D38" s="72">
        <f t="shared" si="4"/>
        <v>0</v>
      </c>
      <c r="E38" s="72">
        <f t="shared" si="4"/>
        <v>0</v>
      </c>
      <c r="F38" s="72">
        <f t="shared" si="4"/>
        <v>0</v>
      </c>
      <c r="G38" s="72">
        <f t="shared" si="4"/>
        <v>0</v>
      </c>
      <c r="H38" s="62" t="s">
        <v>54</v>
      </c>
      <c r="N38" s="50" t="s">
        <v>51</v>
      </c>
      <c r="O38" s="52"/>
    </row>
    <row r="39" spans="1:19" ht="18" customHeight="1" x14ac:dyDescent="0.35">
      <c r="N39" s="66" t="s">
        <v>46</v>
      </c>
    </row>
    <row r="40" spans="1:19" ht="13.15" thickBot="1" x14ac:dyDescent="0.4">
      <c r="A40" s="1" t="s">
        <v>25</v>
      </c>
      <c r="N40" s="65" t="s">
        <v>47</v>
      </c>
    </row>
    <row r="41" spans="1:19" ht="13.5" thickBot="1" x14ac:dyDescent="0.45">
      <c r="A41" s="41" t="s">
        <v>26</v>
      </c>
      <c r="B41" s="31">
        <f>SUMPRODUCT(B14:G18,B4:G8)</f>
        <v>26463</v>
      </c>
      <c r="D41" s="38"/>
      <c r="G41" s="39"/>
      <c r="N41" s="73" t="s">
        <v>45</v>
      </c>
    </row>
    <row r="42" spans="1:19" ht="13.15" x14ac:dyDescent="0.4">
      <c r="A42" s="38"/>
      <c r="G42" s="37"/>
    </row>
    <row r="47" spans="1:19" x14ac:dyDescent="0.35">
      <c r="A47" s="1"/>
    </row>
    <row r="48" spans="1:19" x14ac:dyDescent="0.35">
      <c r="A48" s="36"/>
    </row>
    <row r="49" spans="1:2" ht="13.9" x14ac:dyDescent="0.4">
      <c r="A49" s="35"/>
      <c r="B49" s="34"/>
    </row>
    <row r="50" spans="1:2" ht="13.9" x14ac:dyDescent="0.4">
      <c r="A50" s="35"/>
      <c r="B50" s="34"/>
    </row>
    <row r="51" spans="1:2" ht="13.9" x14ac:dyDescent="0.4">
      <c r="A51" s="35"/>
      <c r="B51" s="34"/>
    </row>
    <row r="52" spans="1:2" ht="13.9" x14ac:dyDescent="0.4">
      <c r="A52" s="35"/>
      <c r="B52" s="34"/>
    </row>
    <row r="53" spans="1:2" ht="13.9" x14ac:dyDescent="0.4">
      <c r="A53" s="35"/>
      <c r="B53" s="34"/>
    </row>
    <row r="54" spans="1:2" ht="13.9" x14ac:dyDescent="0.4">
      <c r="A54" s="35"/>
      <c r="B54" s="34"/>
    </row>
    <row r="55" spans="1:2" ht="12.75" customHeight="1" x14ac:dyDescent="0.4">
      <c r="A55" s="35"/>
      <c r="B55" s="34"/>
    </row>
    <row r="57" spans="1:2" x14ac:dyDescent="0.35">
      <c r="A57" s="36"/>
    </row>
    <row r="58" spans="1:2" ht="13.9" x14ac:dyDescent="0.4">
      <c r="A58" s="35"/>
      <c r="B58" s="34"/>
    </row>
    <row r="59" spans="1:2" ht="13.9" x14ac:dyDescent="0.4">
      <c r="A59" s="35"/>
      <c r="B59" s="34"/>
    </row>
    <row r="61" spans="1:2" x14ac:dyDescent="0.35">
      <c r="A61" s="36"/>
    </row>
  </sheetData>
  <mergeCells count="4">
    <mergeCell ref="B2:G2"/>
    <mergeCell ref="B12:G12"/>
    <mergeCell ref="B21:G21"/>
    <mergeCell ref="H31:H35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46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41FE-939A-4BE4-BCB2-F18BB0A66DFE}">
  <dimension ref="A1:L49"/>
  <sheetViews>
    <sheetView topLeftCell="A12" zoomScaleNormal="100" workbookViewId="0">
      <selection activeCell="I37" sqref="I37"/>
    </sheetView>
  </sheetViews>
  <sheetFormatPr baseColWidth="10" defaultColWidth="11.3984375" defaultRowHeight="12.75" x14ac:dyDescent="0.35"/>
  <sheetData>
    <row r="1" spans="1:12" ht="13.15" thickBot="1" x14ac:dyDescent="0.4">
      <c r="A1" s="42" t="s">
        <v>0</v>
      </c>
    </row>
    <row r="2" spans="1:12" ht="13.15" x14ac:dyDescent="0.4">
      <c r="A2" s="14"/>
      <c r="B2" s="54" t="s">
        <v>1</v>
      </c>
      <c r="C2" s="55"/>
      <c r="D2" s="55"/>
      <c r="E2" s="55"/>
      <c r="F2" s="55"/>
      <c r="G2" s="56"/>
      <c r="H2" s="27" t="s">
        <v>2</v>
      </c>
      <c r="I2" s="28" t="s">
        <v>3</v>
      </c>
    </row>
    <row r="3" spans="1:12" ht="13.15" x14ac:dyDescent="0.4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2" x14ac:dyDescent="0.3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2" x14ac:dyDescent="0.3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2" x14ac:dyDescent="0.3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2" x14ac:dyDescent="0.3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2" x14ac:dyDescent="0.3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2" ht="13.15" thickBot="1" x14ac:dyDescent="0.4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  <c r="J9" s="53" t="s">
        <v>41</v>
      </c>
    </row>
    <row r="10" spans="1:12" x14ac:dyDescent="0.35">
      <c r="A10" s="2"/>
      <c r="I10" s="53" t="s">
        <v>42</v>
      </c>
    </row>
    <row r="11" spans="1:12" ht="13.15" thickBot="1" x14ac:dyDescent="0.4">
      <c r="A11" s="1" t="s">
        <v>18</v>
      </c>
    </row>
    <row r="12" spans="1:12" x14ac:dyDescent="0.35">
      <c r="A12" s="14"/>
      <c r="B12" s="54" t="s">
        <v>19</v>
      </c>
      <c r="C12" s="55"/>
      <c r="D12" s="55"/>
      <c r="E12" s="55"/>
      <c r="F12" s="55"/>
      <c r="G12" s="56"/>
      <c r="H12" s="17" t="s">
        <v>20</v>
      </c>
    </row>
    <row r="13" spans="1:12" x14ac:dyDescent="0.3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2" x14ac:dyDescent="0.35">
      <c r="A14" s="9" t="s">
        <v>12</v>
      </c>
      <c r="B14" s="46">
        <v>0</v>
      </c>
      <c r="C14" s="46">
        <v>0</v>
      </c>
      <c r="D14" s="46">
        <v>0</v>
      </c>
      <c r="E14" s="46">
        <v>0</v>
      </c>
      <c r="F14" s="46">
        <v>0</v>
      </c>
      <c r="G14" s="46">
        <v>0</v>
      </c>
      <c r="H14" s="47">
        <v>0</v>
      </c>
      <c r="I14" s="53" t="s">
        <v>35</v>
      </c>
      <c r="K14" s="50" t="s">
        <v>28</v>
      </c>
      <c r="L14" s="67" t="s">
        <v>48</v>
      </c>
    </row>
    <row r="15" spans="1:12" x14ac:dyDescent="0.35">
      <c r="A15" s="3" t="s">
        <v>13</v>
      </c>
      <c r="B15" s="46">
        <v>0</v>
      </c>
      <c r="C15" s="46">
        <v>0</v>
      </c>
      <c r="D15" s="46">
        <v>0</v>
      </c>
      <c r="E15" s="46">
        <v>0</v>
      </c>
      <c r="F15" s="46">
        <v>0</v>
      </c>
      <c r="G15" s="46">
        <v>0</v>
      </c>
      <c r="H15" s="47">
        <v>0</v>
      </c>
      <c r="I15" s="53" t="s">
        <v>36</v>
      </c>
      <c r="K15" s="52" t="s">
        <v>29</v>
      </c>
      <c r="L15" s="68"/>
    </row>
    <row r="16" spans="1:12" x14ac:dyDescent="0.35">
      <c r="A16" s="3" t="s">
        <v>14</v>
      </c>
      <c r="B16" s="46">
        <v>0</v>
      </c>
      <c r="C16" s="46">
        <v>0</v>
      </c>
      <c r="D16" s="46">
        <v>0</v>
      </c>
      <c r="E16" s="46">
        <v>1</v>
      </c>
      <c r="F16" s="46">
        <v>0</v>
      </c>
      <c r="G16" s="46">
        <v>1</v>
      </c>
      <c r="H16" s="47">
        <v>1</v>
      </c>
      <c r="I16" s="53" t="s">
        <v>37</v>
      </c>
    </row>
    <row r="17" spans="1:9" x14ac:dyDescent="0.35">
      <c r="A17" s="3" t="s">
        <v>15</v>
      </c>
      <c r="B17" s="46">
        <v>1</v>
      </c>
      <c r="C17" s="46">
        <v>1</v>
      </c>
      <c r="D17" s="46">
        <v>0</v>
      </c>
      <c r="E17" s="46">
        <v>0</v>
      </c>
      <c r="F17" s="46">
        <v>0</v>
      </c>
      <c r="G17" s="46">
        <v>0</v>
      </c>
      <c r="H17" s="47">
        <v>1</v>
      </c>
      <c r="I17" s="53" t="s">
        <v>38</v>
      </c>
    </row>
    <row r="18" spans="1:9" ht="13.15" thickBot="1" x14ac:dyDescent="0.4">
      <c r="A18" s="5" t="s">
        <v>16</v>
      </c>
      <c r="B18" s="46">
        <v>0</v>
      </c>
      <c r="C18" s="46">
        <v>0</v>
      </c>
      <c r="D18" s="46">
        <v>1</v>
      </c>
      <c r="E18" s="46">
        <v>0</v>
      </c>
      <c r="F18" s="46">
        <v>1</v>
      </c>
      <c r="G18" s="46">
        <v>0</v>
      </c>
      <c r="H18" s="47">
        <v>1</v>
      </c>
      <c r="I18" s="53" t="s">
        <v>39</v>
      </c>
    </row>
    <row r="19" spans="1:9" x14ac:dyDescent="0.35">
      <c r="B19" s="53" t="s">
        <v>30</v>
      </c>
      <c r="C19" s="53" t="s">
        <v>31</v>
      </c>
      <c r="D19" s="53" t="s">
        <v>32</v>
      </c>
      <c r="E19" s="53" t="s">
        <v>33</v>
      </c>
      <c r="F19" s="53" t="s">
        <v>34</v>
      </c>
      <c r="G19" s="53" t="s">
        <v>40</v>
      </c>
    </row>
    <row r="20" spans="1:9" ht="13.15" thickBot="1" x14ac:dyDescent="0.4">
      <c r="A20" s="1" t="s">
        <v>27</v>
      </c>
    </row>
    <row r="21" spans="1:9" x14ac:dyDescent="0.35">
      <c r="A21" s="14"/>
      <c r="B21" s="54" t="s">
        <v>19</v>
      </c>
      <c r="C21" s="57"/>
      <c r="D21" s="57"/>
      <c r="E21" s="57"/>
      <c r="F21" s="57"/>
      <c r="G21" s="58"/>
    </row>
    <row r="22" spans="1:9" x14ac:dyDescent="0.3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9" x14ac:dyDescent="0.35">
      <c r="A23" s="9" t="s">
        <v>12</v>
      </c>
      <c r="B23" s="44">
        <f>B$9*B14</f>
        <v>0</v>
      </c>
      <c r="C23" s="44">
        <f>C14*C$9</f>
        <v>0</v>
      </c>
      <c r="D23" s="44">
        <f t="shared" ref="C23:G27" si="0">D14*D$9</f>
        <v>0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9" x14ac:dyDescent="0.35">
      <c r="A24" s="3" t="s">
        <v>13</v>
      </c>
      <c r="B24" s="44">
        <f>B$9*B15</f>
        <v>0</v>
      </c>
      <c r="C24" s="44">
        <f t="shared" si="0"/>
        <v>0</v>
      </c>
      <c r="D24" s="44">
        <f t="shared" si="0"/>
        <v>0</v>
      </c>
      <c r="E24" s="44">
        <f t="shared" si="0"/>
        <v>0</v>
      </c>
      <c r="F24" s="44">
        <f t="shared" si="0"/>
        <v>0</v>
      </c>
      <c r="G24" s="44">
        <f t="shared" si="0"/>
        <v>0</v>
      </c>
    </row>
    <row r="25" spans="1:9" x14ac:dyDescent="0.35">
      <c r="A25" s="3" t="s">
        <v>14</v>
      </c>
      <c r="B25" s="44">
        <f t="shared" ref="B25:B27" si="1">B$9*B16</f>
        <v>0</v>
      </c>
      <c r="C25" s="45">
        <f t="shared" si="0"/>
        <v>0</v>
      </c>
      <c r="D25" s="45">
        <f t="shared" si="0"/>
        <v>0</v>
      </c>
      <c r="E25" s="44">
        <f t="shared" si="0"/>
        <v>6</v>
      </c>
      <c r="F25" s="44">
        <f t="shared" si="0"/>
        <v>0</v>
      </c>
      <c r="G25" s="44">
        <f t="shared" si="0"/>
        <v>11</v>
      </c>
    </row>
    <row r="26" spans="1:9" x14ac:dyDescent="0.35">
      <c r="A26" s="3" t="s">
        <v>15</v>
      </c>
      <c r="B26" s="44">
        <f t="shared" si="1"/>
        <v>10</v>
      </c>
      <c r="C26" s="44">
        <f t="shared" si="0"/>
        <v>8</v>
      </c>
      <c r="D26" s="44">
        <f t="shared" si="0"/>
        <v>0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9" ht="13.15" thickBot="1" x14ac:dyDescent="0.4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14</v>
      </c>
      <c r="E27" s="45">
        <f t="shared" si="0"/>
        <v>0</v>
      </c>
      <c r="F27" s="45">
        <f t="shared" si="0"/>
        <v>7</v>
      </c>
      <c r="G27" s="45">
        <f>G18*G$9</f>
        <v>0</v>
      </c>
    </row>
    <row r="29" spans="1:9" ht="13.5" thickBot="1" x14ac:dyDescent="0.45">
      <c r="A29" s="1" t="s">
        <v>22</v>
      </c>
      <c r="E29" s="38"/>
      <c r="F29" s="38"/>
      <c r="G29" s="38"/>
    </row>
    <row r="30" spans="1:9" x14ac:dyDescent="0.35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9" x14ac:dyDescent="0.35">
      <c r="A31" s="3" t="s">
        <v>12</v>
      </c>
      <c r="B31" s="69">
        <f>I4*H14-SUMPRODUCT(B14:G14,$B$9:$G$9)</f>
        <v>0</v>
      </c>
      <c r="G31" s="4"/>
    </row>
    <row r="32" spans="1:9" x14ac:dyDescent="0.35">
      <c r="A32" s="3" t="s">
        <v>13</v>
      </c>
      <c r="B32" s="69">
        <f t="shared" ref="B32:B36" si="2">I5*H15-SUMPRODUCT(B15:G15,$B$9:$G$9)</f>
        <v>0</v>
      </c>
      <c r="G32" s="4"/>
    </row>
    <row r="33" spans="1:12" x14ac:dyDescent="0.35">
      <c r="A33" s="3" t="s">
        <v>14</v>
      </c>
      <c r="B33" s="69">
        <f t="shared" si="2"/>
        <v>10</v>
      </c>
      <c r="G33" s="4"/>
    </row>
    <row r="34" spans="1:12" x14ac:dyDescent="0.35">
      <c r="A34" s="3" t="s">
        <v>15</v>
      </c>
      <c r="B34" s="69">
        <f t="shared" si="2"/>
        <v>4</v>
      </c>
      <c r="G34" s="4"/>
    </row>
    <row r="35" spans="1:12" x14ac:dyDescent="0.35">
      <c r="A35" s="3" t="s">
        <v>16</v>
      </c>
      <c r="B35" s="69">
        <f t="shared" si="2"/>
        <v>10</v>
      </c>
      <c r="G35" s="4"/>
      <c r="J35" s="53" t="s">
        <v>49</v>
      </c>
      <c r="K35" s="53" t="s">
        <v>50</v>
      </c>
    </row>
    <row r="36" spans="1:12" x14ac:dyDescent="0.35">
      <c r="A36" s="3"/>
      <c r="B36" s="69">
        <f t="shared" si="2"/>
        <v>0</v>
      </c>
      <c r="G36" s="4"/>
      <c r="K36" s="50" t="s">
        <v>51</v>
      </c>
      <c r="L36" s="52"/>
    </row>
    <row r="37" spans="1:12" x14ac:dyDescent="0.3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  <c r="K37" s="66" t="s">
        <v>46</v>
      </c>
    </row>
    <row r="38" spans="1:12" ht="13.15" thickBot="1" x14ac:dyDescent="0.4">
      <c r="A38" s="32" t="s">
        <v>24</v>
      </c>
      <c r="B38" s="64">
        <f>SUM(B14:B18)</f>
        <v>1</v>
      </c>
      <c r="C38" s="64">
        <f t="shared" ref="C38:G38" si="3">SUM(C14:C18)</f>
        <v>1</v>
      </c>
      <c r="D38" s="64">
        <f t="shared" si="3"/>
        <v>1</v>
      </c>
      <c r="E38" s="64">
        <f t="shared" si="3"/>
        <v>1</v>
      </c>
      <c r="F38" s="64">
        <f t="shared" si="3"/>
        <v>1</v>
      </c>
      <c r="G38" s="64">
        <f t="shared" si="3"/>
        <v>1</v>
      </c>
      <c r="K38" s="65" t="s">
        <v>47</v>
      </c>
    </row>
    <row r="40" spans="1:12" ht="13.15" thickBot="1" x14ac:dyDescent="0.4">
      <c r="A40" s="1" t="s">
        <v>25</v>
      </c>
    </row>
    <row r="41" spans="1:12" ht="13.5" thickBot="1" x14ac:dyDescent="0.45">
      <c r="A41" s="41" t="s">
        <v>26</v>
      </c>
      <c r="B41" s="31">
        <f>SUMPRODUCT(B23:G27,B4:G8)+SUMPRODUCT(H14:H18,H4:H8)</f>
        <v>49717</v>
      </c>
      <c r="D41" s="38"/>
      <c r="G41" s="39"/>
    </row>
    <row r="42" spans="1:12" ht="13.15" x14ac:dyDescent="0.4">
      <c r="A42" s="38"/>
      <c r="G42" s="37"/>
    </row>
    <row r="47" spans="1:12" x14ac:dyDescent="0.35">
      <c r="A47" s="1"/>
    </row>
    <row r="48" spans="1:12" x14ac:dyDescent="0.35">
      <c r="A48" s="36"/>
    </row>
    <row r="49" spans="1:2" ht="13.9" x14ac:dyDescent="0.4">
      <c r="A49" s="35"/>
      <c r="B49" s="34"/>
    </row>
  </sheetData>
  <mergeCells count="4">
    <mergeCell ref="B2:G2"/>
    <mergeCell ref="B12:G12"/>
    <mergeCell ref="B21:G21"/>
    <mergeCell ref="L14:L15"/>
  </mergeCells>
  <phoneticPr fontId="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35EEC-7741-4E65-8E80-FB996F7B9E48}">
  <dimension ref="A1:J42"/>
  <sheetViews>
    <sheetView zoomScale="70" zoomScaleNormal="70" workbookViewId="0">
      <selection activeCell="U43" sqref="U43"/>
    </sheetView>
  </sheetViews>
  <sheetFormatPr baseColWidth="10" defaultRowHeight="12.75" x14ac:dyDescent="0.35"/>
  <sheetData>
    <row r="1" spans="1:10" ht="13.15" thickBot="1" x14ac:dyDescent="0.4">
      <c r="A1" s="42" t="s">
        <v>0</v>
      </c>
    </row>
    <row r="2" spans="1:10" ht="13.15" x14ac:dyDescent="0.4">
      <c r="A2" s="14"/>
      <c r="B2" s="54" t="s">
        <v>1</v>
      </c>
      <c r="C2" s="55"/>
      <c r="D2" s="55"/>
      <c r="E2" s="55"/>
      <c r="F2" s="55"/>
      <c r="G2" s="56"/>
      <c r="H2" s="27" t="s">
        <v>2</v>
      </c>
      <c r="I2" s="28" t="s">
        <v>3</v>
      </c>
    </row>
    <row r="3" spans="1:10" ht="13.15" x14ac:dyDescent="0.4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0" x14ac:dyDescent="0.3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0" x14ac:dyDescent="0.3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0" x14ac:dyDescent="0.3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0" x14ac:dyDescent="0.3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0" x14ac:dyDescent="0.3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0" ht="13.15" thickBot="1" x14ac:dyDescent="0.4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  <c r="J9" s="50" t="s">
        <v>41</v>
      </c>
    </row>
    <row r="10" spans="1:10" x14ac:dyDescent="0.35">
      <c r="A10" s="2"/>
      <c r="I10" s="50" t="s">
        <v>42</v>
      </c>
    </row>
    <row r="11" spans="1:10" ht="13.15" thickBot="1" x14ac:dyDescent="0.4">
      <c r="A11" s="1" t="s">
        <v>18</v>
      </c>
    </row>
    <row r="12" spans="1:10" x14ac:dyDescent="0.35">
      <c r="A12" s="14"/>
      <c r="B12" s="54" t="s">
        <v>19</v>
      </c>
      <c r="C12" s="55"/>
      <c r="D12" s="55"/>
      <c r="E12" s="55"/>
      <c r="F12" s="55"/>
      <c r="G12" s="56"/>
      <c r="H12" s="17" t="s">
        <v>20</v>
      </c>
    </row>
    <row r="13" spans="1:10" x14ac:dyDescent="0.3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0" x14ac:dyDescent="0.35">
      <c r="A14" s="9" t="s">
        <v>12</v>
      </c>
      <c r="B14" s="46">
        <v>0</v>
      </c>
      <c r="C14" s="46">
        <v>8</v>
      </c>
      <c r="D14" s="46">
        <v>2.0000000000000098</v>
      </c>
      <c r="E14" s="46">
        <v>0</v>
      </c>
      <c r="F14" s="46">
        <v>0</v>
      </c>
      <c r="G14" s="46">
        <v>0</v>
      </c>
      <c r="H14" s="47">
        <v>1</v>
      </c>
      <c r="I14" s="61"/>
      <c r="J14" s="53" t="s">
        <v>35</v>
      </c>
    </row>
    <row r="15" spans="1:10" x14ac:dyDescent="0.35">
      <c r="A15" s="3" t="s">
        <v>13</v>
      </c>
      <c r="B15" s="46">
        <v>0</v>
      </c>
      <c r="C15" s="46">
        <v>0</v>
      </c>
      <c r="D15" s="46">
        <v>0</v>
      </c>
      <c r="E15" s="46">
        <v>5.9999999999999991</v>
      </c>
      <c r="F15" s="46">
        <v>0</v>
      </c>
      <c r="G15" s="46">
        <v>0</v>
      </c>
      <c r="H15" s="47">
        <v>1</v>
      </c>
      <c r="J15" s="53" t="s">
        <v>36</v>
      </c>
    </row>
    <row r="16" spans="1:10" x14ac:dyDescent="0.35">
      <c r="A16" s="3" t="s">
        <v>14</v>
      </c>
      <c r="B16" s="46">
        <v>0</v>
      </c>
      <c r="C16" s="46">
        <v>0</v>
      </c>
      <c r="D16" s="46">
        <v>0</v>
      </c>
      <c r="E16" s="46">
        <v>0</v>
      </c>
      <c r="F16" s="46">
        <v>0</v>
      </c>
      <c r="G16" s="46">
        <v>10.999999999999998</v>
      </c>
      <c r="H16" s="47">
        <v>1</v>
      </c>
      <c r="J16" s="53" t="s">
        <v>37</v>
      </c>
    </row>
    <row r="17" spans="1:10" x14ac:dyDescent="0.35">
      <c r="A17" s="3" t="s">
        <v>15</v>
      </c>
      <c r="B17" s="46">
        <v>10.000000000000002</v>
      </c>
      <c r="C17" s="46">
        <v>0</v>
      </c>
      <c r="D17" s="46">
        <v>11.999999999999996</v>
      </c>
      <c r="E17" s="46">
        <v>0</v>
      </c>
      <c r="F17" s="46">
        <v>0</v>
      </c>
      <c r="G17" s="46">
        <v>0</v>
      </c>
      <c r="H17" s="47">
        <v>1</v>
      </c>
      <c r="J17" s="53" t="s">
        <v>38</v>
      </c>
    </row>
    <row r="18" spans="1:10" ht="13.15" thickBot="1" x14ac:dyDescent="0.4">
      <c r="A18" s="5" t="s">
        <v>16</v>
      </c>
      <c r="B18" s="46">
        <v>0</v>
      </c>
      <c r="C18" s="46">
        <v>0</v>
      </c>
      <c r="D18" s="46">
        <v>0</v>
      </c>
      <c r="E18" s="46">
        <v>0</v>
      </c>
      <c r="F18" s="46">
        <v>7.0000000000000036</v>
      </c>
      <c r="G18" s="46">
        <v>0</v>
      </c>
      <c r="H18" s="47">
        <v>1</v>
      </c>
      <c r="J18" s="53" t="s">
        <v>39</v>
      </c>
    </row>
    <row r="19" spans="1:10" x14ac:dyDescent="0.35">
      <c r="B19" s="53" t="s">
        <v>30</v>
      </c>
      <c r="C19" s="53" t="s">
        <v>31</v>
      </c>
      <c r="D19" s="53" t="s">
        <v>32</v>
      </c>
      <c r="E19" s="53" t="s">
        <v>33</v>
      </c>
      <c r="F19" s="53" t="s">
        <v>34</v>
      </c>
      <c r="G19" s="53" t="s">
        <v>40</v>
      </c>
    </row>
    <row r="20" spans="1:10" ht="13.15" thickBot="1" x14ac:dyDescent="0.4">
      <c r="A20" s="1" t="s">
        <v>27</v>
      </c>
    </row>
    <row r="21" spans="1:10" x14ac:dyDescent="0.35">
      <c r="A21" s="14"/>
      <c r="B21" s="54" t="s">
        <v>19</v>
      </c>
      <c r="C21" s="57"/>
      <c r="D21" s="57"/>
      <c r="E21" s="57"/>
      <c r="F21" s="57"/>
      <c r="G21" s="58"/>
    </row>
    <row r="22" spans="1:10" x14ac:dyDescent="0.3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10" x14ac:dyDescent="0.35">
      <c r="A23" s="9" t="s">
        <v>12</v>
      </c>
      <c r="B23" s="44">
        <f>B14*B$9</f>
        <v>0</v>
      </c>
      <c r="C23" s="44">
        <f t="shared" ref="C23:G27" si="0">C14*C$9</f>
        <v>64</v>
      </c>
      <c r="D23" s="44">
        <f t="shared" si="0"/>
        <v>28.000000000000135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10" x14ac:dyDescent="0.35">
      <c r="A24" s="3" t="s">
        <v>13</v>
      </c>
      <c r="B24" s="44">
        <f>B15*B$9</f>
        <v>0</v>
      </c>
      <c r="C24" s="44">
        <f t="shared" si="0"/>
        <v>0</v>
      </c>
      <c r="D24" s="44">
        <f t="shared" si="0"/>
        <v>0</v>
      </c>
      <c r="E24" s="44">
        <f t="shared" si="0"/>
        <v>35.999999999999993</v>
      </c>
      <c r="F24" s="44">
        <f t="shared" si="0"/>
        <v>0</v>
      </c>
      <c r="G24" s="44">
        <f t="shared" si="0"/>
        <v>0</v>
      </c>
    </row>
    <row r="25" spans="1:10" x14ac:dyDescent="0.35">
      <c r="A25" s="3" t="s">
        <v>14</v>
      </c>
      <c r="B25" s="44">
        <f t="shared" ref="B25:B27" si="1">B16*B$9</f>
        <v>0</v>
      </c>
      <c r="C25" s="45">
        <f t="shared" si="0"/>
        <v>0</v>
      </c>
      <c r="D25" s="45">
        <f t="shared" si="0"/>
        <v>0</v>
      </c>
      <c r="E25" s="44">
        <f t="shared" si="0"/>
        <v>0</v>
      </c>
      <c r="F25" s="44">
        <f t="shared" si="0"/>
        <v>0</v>
      </c>
      <c r="G25" s="44">
        <f t="shared" si="0"/>
        <v>120.99999999999999</v>
      </c>
    </row>
    <row r="26" spans="1:10" x14ac:dyDescent="0.35">
      <c r="A26" s="3" t="s">
        <v>15</v>
      </c>
      <c r="B26" s="44">
        <f>B17*B$9</f>
        <v>100.00000000000001</v>
      </c>
      <c r="C26" s="44">
        <f t="shared" si="0"/>
        <v>0</v>
      </c>
      <c r="D26" s="44">
        <f t="shared" si="0"/>
        <v>167.99999999999994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10" ht="13.15" thickBot="1" x14ac:dyDescent="0.4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0</v>
      </c>
      <c r="E27" s="45">
        <f t="shared" si="0"/>
        <v>0</v>
      </c>
      <c r="F27" s="45">
        <f t="shared" si="0"/>
        <v>49.000000000000028</v>
      </c>
      <c r="G27" s="45">
        <f>G18*G$9</f>
        <v>0</v>
      </c>
    </row>
    <row r="29" spans="1:10" ht="13.5" thickBot="1" x14ac:dyDescent="0.45">
      <c r="A29" s="1" t="s">
        <v>22</v>
      </c>
      <c r="E29" s="38"/>
      <c r="F29" s="38"/>
      <c r="G29" s="38"/>
    </row>
    <row r="30" spans="1:10" x14ac:dyDescent="0.35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10" x14ac:dyDescent="0.35">
      <c r="A31" s="3" t="s">
        <v>12</v>
      </c>
      <c r="B31" s="51">
        <f>I4*H14-SUM(B14:B18)</f>
        <v>7.9999999999999982</v>
      </c>
      <c r="G31" s="4"/>
      <c r="H31" s="59" t="s">
        <v>43</v>
      </c>
    </row>
    <row r="32" spans="1:10" x14ac:dyDescent="0.35">
      <c r="A32" s="3" t="s">
        <v>13</v>
      </c>
      <c r="B32" s="51">
        <f>I5*H15-SUM(C14:C18)</f>
        <v>16</v>
      </c>
      <c r="G32" s="4"/>
      <c r="H32" s="60"/>
    </row>
    <row r="33" spans="1:8" x14ac:dyDescent="0.35">
      <c r="A33" s="3" t="s">
        <v>14</v>
      </c>
      <c r="B33" s="51">
        <f>I6*H16-SUM(D14:D18)</f>
        <v>12.999999999999993</v>
      </c>
      <c r="G33" s="4"/>
      <c r="H33" s="60"/>
    </row>
    <row r="34" spans="1:8" x14ac:dyDescent="0.35">
      <c r="A34" s="3" t="s">
        <v>15</v>
      </c>
      <c r="B34" s="51">
        <f>I7*H17-SUM(E14:E18)</f>
        <v>16</v>
      </c>
      <c r="G34" s="4"/>
      <c r="H34" s="60"/>
    </row>
    <row r="35" spans="1:8" x14ac:dyDescent="0.35">
      <c r="A35" s="3" t="s">
        <v>16</v>
      </c>
      <c r="B35" s="51">
        <f>I8*H18-SUM(F14:F18)</f>
        <v>23.999999999999996</v>
      </c>
      <c r="G35" s="4"/>
      <c r="H35" s="60"/>
    </row>
    <row r="36" spans="1:8" x14ac:dyDescent="0.35">
      <c r="A36" s="63" t="s">
        <v>10</v>
      </c>
      <c r="B36" s="51">
        <f>I9*H19-SUM(G14:G18)</f>
        <v>-10.999999999999998</v>
      </c>
      <c r="G36" s="4"/>
    </row>
    <row r="37" spans="1:8" x14ac:dyDescent="0.3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8" ht="13.15" thickBot="1" x14ac:dyDescent="0.4">
      <c r="A38" s="32" t="s">
        <v>24</v>
      </c>
      <c r="B38" s="33">
        <f>B9-SUM(B14:B18)</f>
        <v>0</v>
      </c>
      <c r="C38" s="33">
        <f t="shared" ref="C38:G38" si="2">C9-SUM(C14:C18)</f>
        <v>0</v>
      </c>
      <c r="D38" s="33">
        <f t="shared" si="2"/>
        <v>0</v>
      </c>
      <c r="E38" s="33">
        <f t="shared" si="2"/>
        <v>0</v>
      </c>
      <c r="F38" s="33">
        <f t="shared" si="2"/>
        <v>0</v>
      </c>
      <c r="G38" s="33">
        <f t="shared" si="2"/>
        <v>0</v>
      </c>
      <c r="H38" s="62" t="s">
        <v>44</v>
      </c>
    </row>
    <row r="40" spans="1:8" ht="13.15" thickBot="1" x14ac:dyDescent="0.4">
      <c r="A40" s="1" t="s">
        <v>25</v>
      </c>
    </row>
    <row r="41" spans="1:8" ht="13.5" thickBot="1" x14ac:dyDescent="0.45">
      <c r="A41" s="41" t="s">
        <v>26</v>
      </c>
      <c r="B41" s="31">
        <f>SUMPRODUCT(B14:G18,B4:G8)+SUMPRODUCT(H14:H18,H4:H8)</f>
        <v>48913</v>
      </c>
      <c r="D41" s="38"/>
      <c r="G41" s="39"/>
    </row>
    <row r="42" spans="1:8" ht="13.15" x14ac:dyDescent="0.4">
      <c r="A42" s="38"/>
      <c r="G42" s="37"/>
    </row>
  </sheetData>
  <mergeCells count="4">
    <mergeCell ref="B2:G2"/>
    <mergeCell ref="B12:G12"/>
    <mergeCell ref="B21:G21"/>
    <mergeCell ref="H31:H35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0" ma:contentTypeDescription="Crée un document." ma:contentTypeScope="" ma:versionID="bac985fadf446414aec7dd495384d4d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f11e83d12cbdd0fcf0b62744a2ab94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E27A91-884F-4C46-A56D-FC63D6A3383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8F95826-8818-426F-B5CA-234E0DE501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0955F5-FE44-4A23-95D2-B0826EFA460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Demand-to-prod-facilities</vt:lpstr>
      <vt:lpstr>Single Sourcing</vt:lpstr>
      <vt:lpstr>Trial of Facility Model</vt:lpstr>
      <vt:lpstr>'Demand-to-prod-facilities'!Zone_d_impression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HUMBLET Raphaël</cp:lastModifiedBy>
  <cp:revision/>
  <dcterms:created xsi:type="dcterms:W3CDTF">1999-02-07T23:04:46Z</dcterms:created>
  <dcterms:modified xsi:type="dcterms:W3CDTF">2025-01-20T13:40:09Z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